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naghedi-my.sharepoint.com/personal/chelly_naghedi_onmicrosoft_com/Documents/2026CHELLY 开始/2026 SHIPMENT/2026.9.7 LCL TO LA/"/>
    </mc:Choice>
  </mc:AlternateContent>
  <xr:revisionPtr revIDLastSave="1" documentId="11_49F34524F6220470E98D5FEDF8631D87AD2F9277" xr6:coauthVersionLast="47" xr6:coauthVersionMax="47" xr10:uidLastSave="{E5AEEA9B-D7D0-4D06-94CC-C2587E3135EE}"/>
  <bookViews>
    <workbookView xWindow="1950" yWindow="690" windowWidth="22710" windowHeight="149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2" i="1" l="1"/>
  <c r="K92" i="1"/>
  <c r="I92" i="1"/>
  <c r="D92" i="1"/>
  <c r="K91" i="1"/>
  <c r="I91" i="1"/>
  <c r="L87" i="1"/>
  <c r="K87" i="1"/>
  <c r="L83" i="1"/>
  <c r="K83" i="1"/>
  <c r="L79" i="1"/>
  <c r="K79" i="1"/>
  <c r="L77" i="1"/>
  <c r="K77" i="1"/>
  <c r="L75" i="1"/>
  <c r="K75" i="1"/>
  <c r="L74" i="1"/>
  <c r="K74" i="1"/>
  <c r="I74" i="1"/>
  <c r="L73" i="1"/>
  <c r="K73" i="1"/>
  <c r="I73" i="1"/>
  <c r="L71" i="1"/>
  <c r="K71" i="1"/>
  <c r="L69" i="1"/>
  <c r="K69" i="1"/>
  <c r="L65" i="1"/>
  <c r="K65" i="1"/>
  <c r="L64" i="1"/>
  <c r="K64" i="1"/>
  <c r="I64" i="1"/>
  <c r="K63" i="1"/>
  <c r="I63" i="1"/>
  <c r="L62" i="1"/>
  <c r="K62" i="1"/>
  <c r="I62" i="1"/>
  <c r="L58" i="1"/>
  <c r="K58" i="1"/>
  <c r="L56" i="1"/>
  <c r="K56" i="1"/>
  <c r="L53" i="1"/>
  <c r="K53" i="1"/>
  <c r="L51" i="1"/>
  <c r="K51" i="1"/>
  <c r="L50" i="1"/>
  <c r="K50" i="1"/>
  <c r="I50" i="1"/>
  <c r="K48" i="1"/>
  <c r="I48" i="1"/>
  <c r="K47" i="1"/>
  <c r="I47" i="1"/>
  <c r="K46" i="1"/>
  <c r="I46" i="1"/>
  <c r="L44" i="1"/>
  <c r="K44" i="1"/>
  <c r="I43" i="1"/>
  <c r="K42" i="1"/>
  <c r="L39" i="1"/>
  <c r="K39" i="1"/>
  <c r="L38" i="1"/>
  <c r="K38" i="1"/>
  <c r="I38" i="1"/>
  <c r="L37" i="1"/>
  <c r="K37" i="1"/>
  <c r="I37" i="1"/>
  <c r="K36" i="1"/>
  <c r="I36" i="1"/>
  <c r="L35" i="1"/>
  <c r="K35" i="1"/>
  <c r="I35" i="1"/>
  <c r="K34" i="1"/>
  <c r="I34" i="1"/>
  <c r="L33" i="1"/>
  <c r="K33" i="1"/>
  <c r="I33" i="1"/>
  <c r="L32" i="1"/>
  <c r="K32" i="1"/>
  <c r="I32" i="1"/>
  <c r="L31" i="1"/>
  <c r="K31" i="1"/>
  <c r="I31" i="1"/>
  <c r="L30" i="1"/>
  <c r="K30" i="1"/>
  <c r="I30" i="1"/>
  <c r="L28" i="1"/>
  <c r="K28" i="1"/>
  <c r="L26" i="1"/>
  <c r="K26" i="1"/>
  <c r="L24" i="1"/>
  <c r="K24" i="1"/>
  <c r="L22" i="1"/>
  <c r="K22" i="1"/>
  <c r="L21" i="1"/>
  <c r="K21" i="1"/>
  <c r="I21" i="1"/>
  <c r="L20" i="1"/>
  <c r="K20" i="1"/>
  <c r="I20" i="1"/>
  <c r="L19" i="1"/>
  <c r="K19" i="1"/>
  <c r="I19" i="1"/>
  <c r="L18" i="1"/>
  <c r="K18" i="1"/>
  <c r="I18" i="1"/>
  <c r="L17" i="1"/>
  <c r="K17" i="1"/>
  <c r="I17" i="1"/>
  <c r="L16" i="1"/>
  <c r="K16" i="1"/>
  <c r="I16" i="1"/>
</calcChain>
</file>

<file path=xl/sharedStrings.xml><?xml version="1.0" encoding="utf-8"?>
<sst xmlns="http://schemas.openxmlformats.org/spreadsheetml/2006/main" count="220" uniqueCount="81">
  <si>
    <t>PACKING LIST             DATE: 2026.9.6</t>
  </si>
  <si>
    <t>Factory Name: Guangzhou Fantasy Leather Co.ltd</t>
  </si>
  <si>
    <t>ADD: Floor 2, B building , Guang Er Industrial Park , No.2 Yi Dong Road ,Shi Ling Town, Huadu District , Guangzhou ，China</t>
  </si>
  <si>
    <t>Contact: ChellySue</t>
  </si>
  <si>
    <t>TEL:86-13710387292</t>
  </si>
  <si>
    <t>MAIL chellysue@163.com</t>
  </si>
  <si>
    <t>COMPANY:Entrelaced Holdings LLC</t>
  </si>
  <si>
    <t>ADD:825 western ave, unit 13, glendale, california 91201</t>
  </si>
  <si>
    <t>ATTN:Nima Erfani</t>
  </si>
  <si>
    <t>TEL:001818720-0116</t>
  </si>
  <si>
    <t>E-MAIL:geneva@naghedinyc.com</t>
  </si>
  <si>
    <r>
      <rPr>
        <sz val="12"/>
        <rFont val="Arial"/>
        <family val="2"/>
      </rPr>
      <t>OFFICE.NO.</t>
    </r>
    <r>
      <rPr>
        <sz val="12"/>
        <rFont val="微软雅黑"/>
        <charset val="134"/>
      </rPr>
      <t>我司定单号</t>
    </r>
  </si>
  <si>
    <t>P.O.NO</t>
  </si>
  <si>
    <t>CTNS NO.</t>
  </si>
  <si>
    <t>CTNS</t>
  </si>
  <si>
    <t>STYLE NO</t>
  </si>
  <si>
    <t>COLOR</t>
  </si>
  <si>
    <r>
      <rPr>
        <sz val="12"/>
        <rFont val="Arial"/>
        <family val="2"/>
      </rPr>
      <t>PACK/CTN</t>
    </r>
    <r>
      <rPr>
        <sz val="12"/>
        <rFont val="微软雅黑"/>
        <charset val="134"/>
      </rPr>
      <t>（每箱个数）</t>
    </r>
  </si>
  <si>
    <r>
      <rPr>
        <sz val="12"/>
        <rFont val="Arial"/>
        <family val="2"/>
      </rPr>
      <t>QUTY</t>
    </r>
    <r>
      <rPr>
        <sz val="12"/>
        <rFont val="微软雅黑"/>
        <charset val="134"/>
      </rPr>
      <t>（总数量）</t>
    </r>
  </si>
  <si>
    <r>
      <rPr>
        <sz val="12"/>
        <rFont val="Arial"/>
        <family val="2"/>
      </rPr>
      <t>CTN/G.W</t>
    </r>
    <r>
      <rPr>
        <sz val="12"/>
        <rFont val="微软雅黑"/>
        <charset val="134"/>
      </rPr>
      <t>（每箱毛重）</t>
    </r>
    <r>
      <rPr>
        <sz val="12"/>
        <rFont val="Arial"/>
        <family val="2"/>
      </rPr>
      <t>kg</t>
    </r>
  </si>
  <si>
    <r>
      <rPr>
        <sz val="12"/>
        <rFont val="Arial"/>
        <family val="2"/>
      </rPr>
      <t>TTL/G.W</t>
    </r>
    <r>
      <rPr>
        <sz val="12"/>
        <rFont val="微软雅黑"/>
        <charset val="134"/>
      </rPr>
      <t>（总毛重）</t>
    </r>
    <r>
      <rPr>
        <sz val="12"/>
        <rFont val="Arial"/>
        <family val="2"/>
      </rPr>
      <t>kg</t>
    </r>
  </si>
  <si>
    <r>
      <rPr>
        <sz val="12"/>
        <rFont val="Arial"/>
        <family val="2"/>
      </rPr>
      <t xml:space="preserve">CBM        </t>
    </r>
    <r>
      <rPr>
        <sz val="12"/>
        <rFont val="微软雅黑"/>
        <charset val="134"/>
      </rPr>
      <t>（总立方）</t>
    </r>
  </si>
  <si>
    <r>
      <rPr>
        <sz val="12"/>
        <rFont val="Arial"/>
        <family val="2"/>
      </rPr>
      <t>MEAS (CM</t>
    </r>
    <r>
      <rPr>
        <sz val="12"/>
        <rFont val="微软雅黑"/>
        <charset val="134"/>
      </rPr>
      <t>纸箱规格尺寸</t>
    </r>
    <r>
      <rPr>
        <sz val="12"/>
        <rFont val="Arial"/>
        <family val="2"/>
      </rPr>
      <t>)</t>
    </r>
  </si>
  <si>
    <t>牌子</t>
  </si>
  <si>
    <r>
      <rPr>
        <sz val="12"/>
        <rFont val="Arial"/>
        <family val="2"/>
      </rPr>
      <t>PO</t>
    </r>
    <r>
      <rPr>
        <sz val="12"/>
        <rFont val="微软雅黑"/>
        <charset val="134"/>
      </rPr>
      <t>号</t>
    </r>
  </si>
  <si>
    <t>箱号</t>
  </si>
  <si>
    <t>箱数</t>
  </si>
  <si>
    <t>款号</t>
  </si>
  <si>
    <t>描述</t>
  </si>
  <si>
    <t>颜色</t>
  </si>
  <si>
    <t>PCS</t>
  </si>
  <si>
    <t>Ecomm Order 1</t>
  </si>
  <si>
    <t>SN04022CP</t>
  </si>
  <si>
    <t>85% nylon,15% spandex ladies handbag               85%锦纶+15%氨纶女士手袋</t>
  </si>
  <si>
    <t>Firenze</t>
  </si>
  <si>
    <t>60*40*43</t>
  </si>
  <si>
    <t>NAGHEDI</t>
  </si>
  <si>
    <t>2-3</t>
  </si>
  <si>
    <t>SN13013QJ</t>
  </si>
  <si>
    <t>Chocolate</t>
  </si>
  <si>
    <t>4-6</t>
  </si>
  <si>
    <t>SN04023QJ</t>
  </si>
  <si>
    <t>SN13012LD</t>
  </si>
  <si>
    <t>Cerise</t>
  </si>
  <si>
    <t>8-9</t>
  </si>
  <si>
    <t>SN13013LD</t>
  </si>
  <si>
    <t>10-12</t>
  </si>
  <si>
    <t>Linen</t>
  </si>
  <si>
    <t>SN41262LD</t>
  </si>
  <si>
    <t>Teak</t>
  </si>
  <si>
    <t>SN40250LD</t>
  </si>
  <si>
    <t>SN13011QJ</t>
  </si>
  <si>
    <t>SN13012QJ</t>
  </si>
  <si>
    <t>SN13014QJ</t>
  </si>
  <si>
    <t>SN41263LD</t>
  </si>
  <si>
    <t>20-21</t>
  </si>
  <si>
    <t>SN13011VB</t>
  </si>
  <si>
    <t>22-25</t>
  </si>
  <si>
    <t>SN13013VB</t>
  </si>
  <si>
    <t>60*58*34</t>
  </si>
  <si>
    <t>SN11051CP</t>
  </si>
  <si>
    <t>SN37043VB</t>
  </si>
  <si>
    <t>60*40*32</t>
  </si>
  <si>
    <t>60*40*20</t>
  </si>
  <si>
    <t>SN90250CP</t>
  </si>
  <si>
    <t>SN43270LD</t>
  </si>
  <si>
    <t>Brights Capsule</t>
  </si>
  <si>
    <t>Emerald</t>
  </si>
  <si>
    <t>SN11054LD</t>
  </si>
  <si>
    <t>Ochre</t>
  </si>
  <si>
    <t>Miami Pink</t>
  </si>
  <si>
    <t>SN11051LD</t>
  </si>
  <si>
    <t>Lilac</t>
  </si>
  <si>
    <t>Ultramarine</t>
  </si>
  <si>
    <t>37*25*15</t>
  </si>
  <si>
    <t>Beads</t>
  </si>
  <si>
    <t>SN03012QJ</t>
  </si>
  <si>
    <t>Onyx</t>
  </si>
  <si>
    <t>Special Ecomm Net Bag</t>
  </si>
  <si>
    <t>SN02264NB</t>
  </si>
  <si>
    <t>SN02262NB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</si>
</sst>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name val="Arial"/>
      <family val="2"/>
    </font>
    <font>
      <sz val="12"/>
      <name val="Arial"/>
    </font>
    <font>
      <b/>
      <sz val="11"/>
      <color theme="1"/>
      <name val="宋体"/>
      <charset val="134"/>
      <scheme val="minor"/>
    </font>
    <font>
      <sz val="12"/>
      <name val="Arial"/>
      <family val="2"/>
    </font>
    <font>
      <sz val="12"/>
      <name val="微软雅黑"/>
      <charset val="134"/>
    </font>
    <font>
      <sz val="10"/>
      <name val="Arial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2">
    <cellStyle name="常规" xfId="0" builtinId="0"/>
    <cellStyle name="常规_Sheet1" xfId="1" xr:uid="{00000000-0005-0000-0000-000031000000}"/>
  </cellStyles>
  <dxfs count="0"/>
  <tableStyles count="0" defaultTableStyle="TableStyleMedium2" defaultPivotStyle="PivotStyleLight16"/>
  <colors>
    <mruColors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"/>
  <sheetViews>
    <sheetView tabSelected="1" topLeftCell="A72" zoomScale="85" zoomScaleNormal="85" workbookViewId="0">
      <selection activeCell="G112" sqref="G112"/>
    </sheetView>
  </sheetViews>
  <sheetFormatPr defaultColWidth="9" defaultRowHeight="13.5" x14ac:dyDescent="0.15"/>
  <cols>
    <col min="1" max="1" width="14.5" style="1" customWidth="1"/>
    <col min="2" max="2" width="17.5" style="1" customWidth="1"/>
    <col min="3" max="4" width="9" style="1"/>
    <col min="5" max="5" width="14.75" style="1" customWidth="1"/>
    <col min="6" max="6" width="19.375" style="1" customWidth="1"/>
    <col min="7" max="7" width="17.625" style="1" customWidth="1"/>
    <col min="8" max="10" width="9" style="1"/>
    <col min="11" max="11" width="11.125" style="1" customWidth="1"/>
    <col min="12" max="12" width="10.375" style="1"/>
    <col min="13" max="13" width="17.875" style="1" customWidth="1"/>
    <col min="14" max="14" width="14.5" style="1" customWidth="1"/>
    <col min="15" max="15" width="14.625" style="1" customWidth="1"/>
    <col min="16" max="16" width="15.875" style="1" customWidth="1"/>
    <col min="17" max="16384" width="9" style="1"/>
  </cols>
  <sheetData>
    <row r="1" spans="1:14" ht="23.25" x14ac:dyDescent="0.1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4" ht="15" x14ac:dyDescent="0.15">
      <c r="A2" s="22" t="s">
        <v>1</v>
      </c>
      <c r="B2" s="22"/>
      <c r="C2" s="22"/>
      <c r="D2" s="22"/>
      <c r="E2" s="22"/>
      <c r="F2" s="22"/>
      <c r="G2" s="22"/>
      <c r="H2" s="23"/>
      <c r="I2" s="23"/>
      <c r="J2" s="23"/>
      <c r="K2" s="23"/>
      <c r="L2" s="23"/>
      <c r="M2" s="23"/>
    </row>
    <row r="3" spans="1:14" ht="15" x14ac:dyDescent="0.15">
      <c r="A3" s="22" t="s">
        <v>2</v>
      </c>
      <c r="B3" s="22"/>
      <c r="C3" s="22"/>
      <c r="D3" s="22"/>
      <c r="E3" s="22"/>
      <c r="F3" s="22"/>
      <c r="G3" s="22"/>
      <c r="H3" s="23"/>
      <c r="I3" s="23"/>
      <c r="J3" s="23"/>
      <c r="K3" s="23"/>
      <c r="L3" s="23"/>
      <c r="M3" s="23"/>
    </row>
    <row r="4" spans="1:14" x14ac:dyDescent="0.15">
      <c r="A4" s="24" t="s">
        <v>3</v>
      </c>
      <c r="B4" s="24"/>
      <c r="C4" s="24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4" ht="15" x14ac:dyDescent="0.15">
      <c r="A5" s="22" t="s">
        <v>4</v>
      </c>
      <c r="B5" s="22"/>
      <c r="C5" s="22"/>
      <c r="D5" s="22"/>
      <c r="E5" s="22"/>
      <c r="F5" s="22"/>
      <c r="G5" s="22"/>
      <c r="H5" s="23"/>
      <c r="I5" s="23"/>
      <c r="J5" s="23"/>
      <c r="K5" s="23"/>
      <c r="L5" s="23"/>
      <c r="M5" s="23"/>
    </row>
    <row r="6" spans="1:14" ht="15" x14ac:dyDescent="0.15">
      <c r="A6" s="22" t="s">
        <v>5</v>
      </c>
      <c r="B6" s="22"/>
      <c r="C6" s="22"/>
      <c r="D6" s="22"/>
      <c r="E6" s="22"/>
      <c r="F6" s="22"/>
      <c r="G6" s="22"/>
      <c r="H6" s="4"/>
      <c r="I6" s="4"/>
      <c r="J6" s="4"/>
      <c r="K6" s="4"/>
      <c r="L6" s="4"/>
      <c r="M6" s="4"/>
    </row>
    <row r="7" spans="1:14" ht="15" x14ac:dyDescent="0.15">
      <c r="A7" s="6"/>
      <c r="B7" s="7"/>
      <c r="C7" s="7"/>
      <c r="D7" s="7"/>
      <c r="E7" s="7"/>
      <c r="F7" s="7"/>
      <c r="G7" s="7"/>
      <c r="H7" s="8"/>
      <c r="I7" s="8"/>
      <c r="J7" s="8"/>
      <c r="K7" s="8"/>
      <c r="L7" s="8"/>
      <c r="M7" s="8"/>
    </row>
    <row r="8" spans="1:14" ht="15" x14ac:dyDescent="0.15">
      <c r="A8" s="9" t="s">
        <v>6</v>
      </c>
      <c r="B8" s="3"/>
      <c r="C8" s="7"/>
      <c r="D8" s="7"/>
      <c r="E8" s="7"/>
      <c r="F8" s="7"/>
      <c r="G8" s="7"/>
      <c r="H8" s="8"/>
      <c r="I8" s="8"/>
      <c r="J8" s="7"/>
      <c r="K8" s="7"/>
      <c r="L8" s="7"/>
      <c r="M8" s="7"/>
    </row>
    <row r="9" spans="1:14" ht="15" x14ac:dyDescent="0.15">
      <c r="A9" s="9" t="s">
        <v>7</v>
      </c>
      <c r="B9" s="3"/>
      <c r="C9" s="7"/>
      <c r="D9" s="7"/>
      <c r="E9" s="7"/>
      <c r="F9" s="7"/>
      <c r="G9" s="7"/>
      <c r="H9" s="8"/>
      <c r="I9" s="8"/>
      <c r="J9" s="7"/>
      <c r="K9" s="7"/>
      <c r="L9" s="7"/>
      <c r="M9" s="7"/>
    </row>
    <row r="10" spans="1:14" ht="15" x14ac:dyDescent="0.15">
      <c r="A10" s="9" t="s">
        <v>8</v>
      </c>
      <c r="B10" s="3"/>
      <c r="C10" s="7"/>
      <c r="D10" s="7"/>
      <c r="E10" s="7"/>
      <c r="F10" s="7"/>
      <c r="G10" s="7"/>
      <c r="H10" s="8"/>
      <c r="I10" s="8"/>
      <c r="J10" s="7"/>
      <c r="K10" s="7"/>
      <c r="L10" s="7"/>
      <c r="M10" s="7"/>
    </row>
    <row r="11" spans="1:14" ht="15" x14ac:dyDescent="0.15">
      <c r="A11" s="9" t="s">
        <v>9</v>
      </c>
      <c r="B11" s="3"/>
      <c r="C11" s="7"/>
      <c r="D11" s="7"/>
      <c r="E11" s="7"/>
      <c r="F11" s="7"/>
      <c r="G11" s="7"/>
      <c r="H11" s="8"/>
      <c r="I11" s="8"/>
      <c r="J11" s="7"/>
      <c r="K11" s="7"/>
      <c r="L11" s="7"/>
      <c r="M11" s="7"/>
    </row>
    <row r="12" spans="1:14" ht="15" x14ac:dyDescent="0.15">
      <c r="A12" s="9" t="s">
        <v>10</v>
      </c>
      <c r="B12" s="3"/>
      <c r="C12" s="7"/>
      <c r="D12" s="7"/>
      <c r="E12" s="7"/>
      <c r="F12" s="7"/>
      <c r="G12" s="7"/>
      <c r="H12" s="8"/>
      <c r="I12" s="8"/>
      <c r="J12" s="7"/>
      <c r="K12" s="7"/>
      <c r="L12" s="7"/>
      <c r="M12" s="7"/>
    </row>
    <row r="13" spans="1:14" ht="15" x14ac:dyDescent="0.15">
      <c r="A13" s="7"/>
      <c r="B13" s="7"/>
      <c r="C13" s="7"/>
      <c r="D13" s="7"/>
      <c r="E13" s="7"/>
      <c r="F13" s="7"/>
      <c r="G13" s="7"/>
      <c r="H13" s="8"/>
      <c r="I13" s="8"/>
      <c r="J13" s="7"/>
      <c r="K13" s="7"/>
      <c r="L13" s="7"/>
      <c r="M13" s="7"/>
    </row>
    <row r="14" spans="1:14" ht="49.5" x14ac:dyDescent="0.15">
      <c r="A14" s="25" t="s">
        <v>11</v>
      </c>
      <c r="B14" s="10" t="s">
        <v>12</v>
      </c>
      <c r="C14" s="10" t="s">
        <v>13</v>
      </c>
      <c r="D14" s="10" t="s">
        <v>14</v>
      </c>
      <c r="E14" s="10" t="s">
        <v>15</v>
      </c>
      <c r="F14" s="10"/>
      <c r="G14" s="10" t="s">
        <v>16</v>
      </c>
      <c r="H14" s="10" t="s">
        <v>17</v>
      </c>
      <c r="I14" s="10" t="s">
        <v>18</v>
      </c>
      <c r="J14" s="25" t="s">
        <v>19</v>
      </c>
      <c r="K14" s="25" t="s">
        <v>20</v>
      </c>
      <c r="L14" s="25" t="s">
        <v>21</v>
      </c>
      <c r="M14" s="25" t="s">
        <v>22</v>
      </c>
      <c r="N14" s="41" t="s">
        <v>23</v>
      </c>
    </row>
    <row r="15" spans="1:14" ht="17.25" x14ac:dyDescent="0.15">
      <c r="A15" s="26"/>
      <c r="B15" s="10" t="s">
        <v>24</v>
      </c>
      <c r="C15" s="11" t="s">
        <v>25</v>
      </c>
      <c r="D15" s="11" t="s">
        <v>26</v>
      </c>
      <c r="E15" s="11" t="s">
        <v>27</v>
      </c>
      <c r="F15" s="11" t="s">
        <v>28</v>
      </c>
      <c r="G15" s="11" t="s">
        <v>29</v>
      </c>
      <c r="H15" s="10" t="s">
        <v>30</v>
      </c>
      <c r="I15" s="10" t="s">
        <v>30</v>
      </c>
      <c r="J15" s="26"/>
      <c r="K15" s="26"/>
      <c r="L15" s="26"/>
      <c r="M15" s="26"/>
      <c r="N15" s="42"/>
    </row>
    <row r="16" spans="1:14" ht="15" customHeight="1" x14ac:dyDescent="0.15">
      <c r="A16" s="27">
        <v>1785</v>
      </c>
      <c r="B16" s="31" t="s">
        <v>31</v>
      </c>
      <c r="C16" s="2">
        <v>1</v>
      </c>
      <c r="D16" s="2">
        <v>1</v>
      </c>
      <c r="E16" s="2" t="s">
        <v>32</v>
      </c>
      <c r="F16" s="36" t="s">
        <v>33</v>
      </c>
      <c r="G16" s="2" t="s">
        <v>34</v>
      </c>
      <c r="H16" s="2">
        <v>17</v>
      </c>
      <c r="I16" s="2">
        <f t="shared" ref="I16:I21" si="0">H16*D16</f>
        <v>17</v>
      </c>
      <c r="J16" s="2">
        <v>11.5</v>
      </c>
      <c r="K16" s="2">
        <f t="shared" ref="K16:K22" si="1">J16*D16</f>
        <v>11.5</v>
      </c>
      <c r="L16" s="2">
        <f t="shared" ref="L16:L22" si="2">0.1*D16</f>
        <v>0.1</v>
      </c>
      <c r="M16" s="27" t="s">
        <v>35</v>
      </c>
      <c r="N16" s="27" t="s">
        <v>36</v>
      </c>
    </row>
    <row r="17" spans="1:14" ht="14.25" x14ac:dyDescent="0.15">
      <c r="A17" s="27"/>
      <c r="B17" s="31"/>
      <c r="C17" s="14" t="s">
        <v>37</v>
      </c>
      <c r="D17" s="2">
        <v>2</v>
      </c>
      <c r="E17" s="2" t="s">
        <v>38</v>
      </c>
      <c r="F17" s="36"/>
      <c r="G17" s="15" t="s">
        <v>39</v>
      </c>
      <c r="H17" s="2">
        <v>20</v>
      </c>
      <c r="I17" s="2">
        <f t="shared" si="0"/>
        <v>40</v>
      </c>
      <c r="J17" s="2">
        <v>21</v>
      </c>
      <c r="K17" s="2">
        <f t="shared" si="1"/>
        <v>42</v>
      </c>
      <c r="L17" s="2">
        <f t="shared" si="2"/>
        <v>0.2</v>
      </c>
      <c r="M17" s="27"/>
      <c r="N17" s="27"/>
    </row>
    <row r="18" spans="1:14" ht="14.25" x14ac:dyDescent="0.15">
      <c r="A18" s="27"/>
      <c r="B18" s="31"/>
      <c r="C18" s="14" t="s">
        <v>40</v>
      </c>
      <c r="D18" s="2">
        <v>3</v>
      </c>
      <c r="E18" s="2" t="s">
        <v>41</v>
      </c>
      <c r="F18" s="36"/>
      <c r="G18" s="15" t="s">
        <v>39</v>
      </c>
      <c r="H18" s="2">
        <v>20</v>
      </c>
      <c r="I18" s="2">
        <f t="shared" si="0"/>
        <v>60</v>
      </c>
      <c r="J18" s="2">
        <v>19.55</v>
      </c>
      <c r="K18" s="2">
        <f t="shared" si="1"/>
        <v>58.65</v>
      </c>
      <c r="L18" s="2">
        <f t="shared" si="2"/>
        <v>0.3</v>
      </c>
      <c r="M18" s="27"/>
      <c r="N18" s="27"/>
    </row>
    <row r="19" spans="1:14" ht="14.25" x14ac:dyDescent="0.15">
      <c r="A19" s="27"/>
      <c r="B19" s="31"/>
      <c r="C19" s="2">
        <v>7</v>
      </c>
      <c r="D19" s="2">
        <v>1</v>
      </c>
      <c r="E19" s="2" t="s">
        <v>42</v>
      </c>
      <c r="F19" s="36"/>
      <c r="G19" s="2" t="s">
        <v>43</v>
      </c>
      <c r="H19" s="2">
        <v>27</v>
      </c>
      <c r="I19" s="2">
        <f t="shared" si="0"/>
        <v>27</v>
      </c>
      <c r="J19" s="2">
        <v>19.75</v>
      </c>
      <c r="K19" s="2">
        <f t="shared" si="1"/>
        <v>19.75</v>
      </c>
      <c r="L19" s="2">
        <f t="shared" si="2"/>
        <v>0.1</v>
      </c>
      <c r="M19" s="27"/>
      <c r="N19" s="27"/>
    </row>
    <row r="20" spans="1:14" ht="14.25" x14ac:dyDescent="0.15">
      <c r="A20" s="27"/>
      <c r="B20" s="31"/>
      <c r="C20" s="14" t="s">
        <v>44</v>
      </c>
      <c r="D20" s="2">
        <v>2</v>
      </c>
      <c r="E20" s="2" t="s">
        <v>45</v>
      </c>
      <c r="F20" s="36"/>
      <c r="G20" s="2" t="s">
        <v>43</v>
      </c>
      <c r="H20" s="2">
        <v>20</v>
      </c>
      <c r="I20" s="2">
        <f t="shared" si="0"/>
        <v>40</v>
      </c>
      <c r="J20" s="2">
        <v>19.600000000000001</v>
      </c>
      <c r="K20" s="2">
        <f t="shared" si="1"/>
        <v>39.200000000000003</v>
      </c>
      <c r="L20" s="2">
        <f t="shared" si="2"/>
        <v>0.2</v>
      </c>
      <c r="M20" s="27"/>
      <c r="N20" s="27"/>
    </row>
    <row r="21" spans="1:14" ht="14.25" x14ac:dyDescent="0.15">
      <c r="A21" s="27"/>
      <c r="B21" s="31"/>
      <c r="C21" s="14" t="s">
        <v>46</v>
      </c>
      <c r="D21" s="2">
        <v>3</v>
      </c>
      <c r="E21" s="2" t="s">
        <v>41</v>
      </c>
      <c r="F21" s="36"/>
      <c r="G21" s="2" t="s">
        <v>47</v>
      </c>
      <c r="H21" s="2">
        <v>20</v>
      </c>
      <c r="I21" s="2">
        <f t="shared" si="0"/>
        <v>60</v>
      </c>
      <c r="J21" s="2">
        <v>19.25</v>
      </c>
      <c r="K21" s="2">
        <f t="shared" si="1"/>
        <v>57.75</v>
      </c>
      <c r="L21" s="2">
        <f t="shared" si="2"/>
        <v>0.3</v>
      </c>
      <c r="M21" s="27"/>
      <c r="N21" s="27"/>
    </row>
    <row r="22" spans="1:14" ht="14.25" x14ac:dyDescent="0.15">
      <c r="A22" s="27"/>
      <c r="B22" s="31"/>
      <c r="C22" s="27">
        <v>13</v>
      </c>
      <c r="D22" s="27">
        <v>1</v>
      </c>
      <c r="E22" s="2" t="s">
        <v>48</v>
      </c>
      <c r="F22" s="36"/>
      <c r="G22" s="2" t="s">
        <v>49</v>
      </c>
      <c r="H22" s="2">
        <v>33</v>
      </c>
      <c r="I22" s="27">
        <v>63</v>
      </c>
      <c r="J22" s="27">
        <v>21.45</v>
      </c>
      <c r="K22" s="27">
        <f t="shared" si="1"/>
        <v>21.45</v>
      </c>
      <c r="L22" s="27">
        <f t="shared" si="2"/>
        <v>0.1</v>
      </c>
      <c r="M22" s="27"/>
      <c r="N22" s="27"/>
    </row>
    <row r="23" spans="1:14" ht="14.25" x14ac:dyDescent="0.15">
      <c r="A23" s="27"/>
      <c r="B23" s="31"/>
      <c r="C23" s="27"/>
      <c r="D23" s="27"/>
      <c r="E23" s="2" t="s">
        <v>50</v>
      </c>
      <c r="F23" s="36"/>
      <c r="G23" s="2" t="s">
        <v>49</v>
      </c>
      <c r="H23" s="2">
        <v>30</v>
      </c>
      <c r="I23" s="27"/>
      <c r="J23" s="27"/>
      <c r="K23" s="27"/>
      <c r="L23" s="27"/>
      <c r="M23" s="27"/>
      <c r="N23" s="27"/>
    </row>
    <row r="24" spans="1:14" ht="14.25" x14ac:dyDescent="0.15">
      <c r="A24" s="27"/>
      <c r="B24" s="31"/>
      <c r="C24" s="27">
        <v>14</v>
      </c>
      <c r="D24" s="27">
        <v>1</v>
      </c>
      <c r="E24" s="2" t="s">
        <v>51</v>
      </c>
      <c r="F24" s="36"/>
      <c r="G24" s="2" t="s">
        <v>47</v>
      </c>
      <c r="H24" s="2">
        <v>35</v>
      </c>
      <c r="I24" s="27">
        <v>44</v>
      </c>
      <c r="J24" s="27">
        <v>20.95</v>
      </c>
      <c r="K24" s="27">
        <f t="shared" ref="K24:K28" si="3">J24*D24</f>
        <v>20.95</v>
      </c>
      <c r="L24" s="27">
        <f t="shared" ref="L24:L28" si="4">0.1*D24</f>
        <v>0.1</v>
      </c>
      <c r="M24" s="27"/>
      <c r="N24" s="27"/>
    </row>
    <row r="25" spans="1:14" ht="14.25" x14ac:dyDescent="0.15">
      <c r="A25" s="27"/>
      <c r="B25" s="31"/>
      <c r="C25" s="27"/>
      <c r="D25" s="27"/>
      <c r="E25" s="2" t="s">
        <v>51</v>
      </c>
      <c r="F25" s="36"/>
      <c r="G25" s="15" t="s">
        <v>39</v>
      </c>
      <c r="H25" s="2">
        <v>9</v>
      </c>
      <c r="I25" s="27"/>
      <c r="J25" s="27"/>
      <c r="K25" s="27"/>
      <c r="L25" s="27"/>
      <c r="M25" s="27"/>
      <c r="N25" s="27"/>
    </row>
    <row r="26" spans="1:14" ht="14.25" x14ac:dyDescent="0.15">
      <c r="A26" s="27"/>
      <c r="B26" s="31"/>
      <c r="C26" s="27">
        <v>15</v>
      </c>
      <c r="D26" s="27">
        <v>1</v>
      </c>
      <c r="E26" s="2" t="s">
        <v>52</v>
      </c>
      <c r="F26" s="36"/>
      <c r="G26" s="2" t="s">
        <v>47</v>
      </c>
      <c r="H26" s="2">
        <v>23</v>
      </c>
      <c r="I26" s="27">
        <v>27</v>
      </c>
      <c r="J26" s="27">
        <v>21</v>
      </c>
      <c r="K26" s="27">
        <f t="shared" si="3"/>
        <v>21</v>
      </c>
      <c r="L26" s="27">
        <f t="shared" si="4"/>
        <v>0.1</v>
      </c>
      <c r="M26" s="27"/>
      <c r="N26" s="27"/>
    </row>
    <row r="27" spans="1:14" ht="14.25" x14ac:dyDescent="0.15">
      <c r="A27" s="27"/>
      <c r="B27" s="31"/>
      <c r="C27" s="27"/>
      <c r="D27" s="27"/>
      <c r="E27" s="2" t="s">
        <v>42</v>
      </c>
      <c r="F27" s="36"/>
      <c r="G27" s="2" t="s">
        <v>43</v>
      </c>
      <c r="H27" s="2">
        <v>4</v>
      </c>
      <c r="I27" s="27"/>
      <c r="J27" s="27"/>
      <c r="K27" s="27"/>
      <c r="L27" s="27"/>
      <c r="M27" s="27"/>
      <c r="N27" s="27"/>
    </row>
    <row r="28" spans="1:14" ht="14.25" x14ac:dyDescent="0.15">
      <c r="A28" s="27"/>
      <c r="B28" s="31"/>
      <c r="C28" s="27">
        <v>16</v>
      </c>
      <c r="D28" s="27">
        <v>1</v>
      </c>
      <c r="E28" s="2" t="s">
        <v>38</v>
      </c>
      <c r="F28" s="36"/>
      <c r="G28" s="15" t="s">
        <v>39</v>
      </c>
      <c r="H28" s="2">
        <v>10</v>
      </c>
      <c r="I28" s="27">
        <v>20</v>
      </c>
      <c r="J28" s="27">
        <v>20.3</v>
      </c>
      <c r="K28" s="27">
        <f t="shared" si="3"/>
        <v>20.3</v>
      </c>
      <c r="L28" s="27">
        <f t="shared" si="4"/>
        <v>0.1</v>
      </c>
      <c r="M28" s="27"/>
      <c r="N28" s="27"/>
    </row>
    <row r="29" spans="1:14" ht="14.25" x14ac:dyDescent="0.15">
      <c r="A29" s="27"/>
      <c r="B29" s="31"/>
      <c r="C29" s="27"/>
      <c r="D29" s="27"/>
      <c r="E29" s="2" t="s">
        <v>45</v>
      </c>
      <c r="F29" s="36"/>
      <c r="G29" s="2" t="s">
        <v>43</v>
      </c>
      <c r="H29" s="2">
        <v>10</v>
      </c>
      <c r="I29" s="27"/>
      <c r="J29" s="27"/>
      <c r="K29" s="27"/>
      <c r="L29" s="27"/>
      <c r="M29" s="27"/>
      <c r="N29" s="27"/>
    </row>
    <row r="30" spans="1:14" ht="14.25" x14ac:dyDescent="0.15">
      <c r="A30" s="27"/>
      <c r="B30" s="31"/>
      <c r="C30" s="2">
        <v>17</v>
      </c>
      <c r="D30" s="2">
        <v>1</v>
      </c>
      <c r="E30" s="2" t="s">
        <v>53</v>
      </c>
      <c r="F30" s="36"/>
      <c r="G30" s="15" t="s">
        <v>39</v>
      </c>
      <c r="H30" s="2">
        <v>15</v>
      </c>
      <c r="I30" s="2">
        <f t="shared" ref="I30:I38" si="5">H30*D30</f>
        <v>15</v>
      </c>
      <c r="J30" s="2">
        <v>19.75</v>
      </c>
      <c r="K30" s="2">
        <f t="shared" ref="K30:K39" si="6">J30*D30</f>
        <v>19.75</v>
      </c>
      <c r="L30" s="2">
        <f t="shared" ref="L30:L33" si="7">0.1*D30</f>
        <v>0.1</v>
      </c>
      <c r="M30" s="27"/>
      <c r="N30" s="27"/>
    </row>
    <row r="31" spans="1:14" ht="14.25" x14ac:dyDescent="0.15">
      <c r="A31" s="27"/>
      <c r="B31" s="31"/>
      <c r="C31" s="2">
        <v>18</v>
      </c>
      <c r="D31" s="2">
        <v>1</v>
      </c>
      <c r="E31" s="2" t="s">
        <v>52</v>
      </c>
      <c r="F31" s="36"/>
      <c r="G31" s="2" t="s">
        <v>47</v>
      </c>
      <c r="H31" s="2">
        <v>27</v>
      </c>
      <c r="I31" s="2">
        <f t="shared" si="5"/>
        <v>27</v>
      </c>
      <c r="J31" s="2">
        <v>21.35</v>
      </c>
      <c r="K31" s="2">
        <f t="shared" si="6"/>
        <v>21.35</v>
      </c>
      <c r="L31" s="2">
        <f t="shared" si="7"/>
        <v>0.1</v>
      </c>
      <c r="M31" s="27"/>
      <c r="N31" s="27"/>
    </row>
    <row r="32" spans="1:14" ht="14.25" x14ac:dyDescent="0.15">
      <c r="A32" s="27"/>
      <c r="B32" s="31"/>
      <c r="C32" s="2">
        <v>19</v>
      </c>
      <c r="D32" s="2">
        <v>1</v>
      </c>
      <c r="E32" s="2" t="s">
        <v>54</v>
      </c>
      <c r="F32" s="36"/>
      <c r="G32" s="2" t="s">
        <v>49</v>
      </c>
      <c r="H32" s="2">
        <v>28</v>
      </c>
      <c r="I32" s="2">
        <f t="shared" si="5"/>
        <v>28</v>
      </c>
      <c r="J32" s="2">
        <v>22</v>
      </c>
      <c r="K32" s="2">
        <f t="shared" si="6"/>
        <v>22</v>
      </c>
      <c r="L32" s="2">
        <f t="shared" si="7"/>
        <v>0.1</v>
      </c>
      <c r="M32" s="27"/>
      <c r="N32" s="27"/>
    </row>
    <row r="33" spans="1:14" ht="14.25" x14ac:dyDescent="0.15">
      <c r="A33" s="27"/>
      <c r="B33" s="31"/>
      <c r="C33" s="2" t="s">
        <v>55</v>
      </c>
      <c r="D33" s="2">
        <v>2</v>
      </c>
      <c r="E33" s="2" t="s">
        <v>56</v>
      </c>
      <c r="F33" s="36"/>
      <c r="G33" s="2" t="s">
        <v>49</v>
      </c>
      <c r="H33" s="2">
        <v>24</v>
      </c>
      <c r="I33" s="2">
        <f t="shared" si="5"/>
        <v>48</v>
      </c>
      <c r="J33" s="2">
        <v>13.45</v>
      </c>
      <c r="K33" s="2">
        <f t="shared" si="6"/>
        <v>26.9</v>
      </c>
      <c r="L33" s="2">
        <f t="shared" si="7"/>
        <v>0.2</v>
      </c>
      <c r="M33" s="27"/>
      <c r="N33" s="27"/>
    </row>
    <row r="34" spans="1:14" ht="15" customHeight="1" x14ac:dyDescent="0.15">
      <c r="A34" s="27"/>
      <c r="B34" s="31"/>
      <c r="C34" s="16" t="s">
        <v>57</v>
      </c>
      <c r="D34" s="2">
        <v>4</v>
      </c>
      <c r="E34" s="2" t="s">
        <v>58</v>
      </c>
      <c r="F34" s="36"/>
      <c r="G34" s="2" t="s">
        <v>49</v>
      </c>
      <c r="H34" s="2">
        <v>8</v>
      </c>
      <c r="I34" s="2">
        <f t="shared" si="5"/>
        <v>32</v>
      </c>
      <c r="J34" s="2">
        <v>12.1</v>
      </c>
      <c r="K34" s="2">
        <f t="shared" si="6"/>
        <v>48.4</v>
      </c>
      <c r="L34" s="2">
        <v>0.48</v>
      </c>
      <c r="M34" s="2" t="s">
        <v>59</v>
      </c>
      <c r="N34" s="27"/>
    </row>
    <row r="35" spans="1:14" ht="14.25" x14ac:dyDescent="0.15">
      <c r="A35" s="27"/>
      <c r="B35" s="31"/>
      <c r="C35" s="16">
        <v>26</v>
      </c>
      <c r="D35" s="2">
        <v>1</v>
      </c>
      <c r="E35" s="2" t="s">
        <v>60</v>
      </c>
      <c r="F35" s="36"/>
      <c r="G35" s="2" t="s">
        <v>34</v>
      </c>
      <c r="H35" s="2">
        <v>60</v>
      </c>
      <c r="I35" s="2">
        <f t="shared" si="5"/>
        <v>60</v>
      </c>
      <c r="J35" s="2">
        <v>15.05</v>
      </c>
      <c r="K35" s="2">
        <f t="shared" si="6"/>
        <v>15.05</v>
      </c>
      <c r="L35" s="2">
        <f t="shared" ref="L35:L39" si="8">0.1*D35</f>
        <v>0.1</v>
      </c>
      <c r="M35" s="2" t="s">
        <v>35</v>
      </c>
      <c r="N35" s="27"/>
    </row>
    <row r="36" spans="1:14" ht="14.25" x14ac:dyDescent="0.15">
      <c r="A36" s="27"/>
      <c r="B36" s="31"/>
      <c r="C36" s="16">
        <v>27</v>
      </c>
      <c r="D36" s="2">
        <v>1</v>
      </c>
      <c r="E36" s="2" t="s">
        <v>58</v>
      </c>
      <c r="F36" s="36"/>
      <c r="G36" s="2" t="s">
        <v>49</v>
      </c>
      <c r="H36" s="2">
        <v>8</v>
      </c>
      <c r="I36" s="2">
        <f t="shared" si="5"/>
        <v>8</v>
      </c>
      <c r="J36" s="2">
        <v>12.1</v>
      </c>
      <c r="K36" s="2">
        <f t="shared" si="6"/>
        <v>12.1</v>
      </c>
      <c r="L36" s="2">
        <v>0.12</v>
      </c>
      <c r="M36" s="2" t="s">
        <v>59</v>
      </c>
      <c r="N36" s="27"/>
    </row>
    <row r="37" spans="1:14" ht="14.25" x14ac:dyDescent="0.15">
      <c r="A37" s="27"/>
      <c r="B37" s="31"/>
      <c r="C37" s="2">
        <v>28</v>
      </c>
      <c r="D37" s="2">
        <v>1</v>
      </c>
      <c r="E37" s="2" t="s">
        <v>61</v>
      </c>
      <c r="F37" s="36"/>
      <c r="G37" s="2" t="s">
        <v>49</v>
      </c>
      <c r="H37" s="16">
        <v>30</v>
      </c>
      <c r="I37" s="2">
        <f t="shared" si="5"/>
        <v>30</v>
      </c>
      <c r="J37" s="2">
        <v>15.15</v>
      </c>
      <c r="K37" s="2">
        <f t="shared" si="6"/>
        <v>15.15</v>
      </c>
      <c r="L37" s="2">
        <f t="shared" si="8"/>
        <v>0.1</v>
      </c>
      <c r="M37" s="27" t="s">
        <v>35</v>
      </c>
      <c r="N37" s="27"/>
    </row>
    <row r="38" spans="1:14" ht="14.25" x14ac:dyDescent="0.15">
      <c r="A38" s="27"/>
      <c r="B38" s="31"/>
      <c r="C38" s="2">
        <v>29</v>
      </c>
      <c r="D38" s="2">
        <v>1</v>
      </c>
      <c r="E38" s="2" t="s">
        <v>51</v>
      </c>
      <c r="F38" s="36"/>
      <c r="G38" s="15" t="s">
        <v>39</v>
      </c>
      <c r="H38" s="16">
        <v>31</v>
      </c>
      <c r="I38" s="2">
        <f t="shared" si="5"/>
        <v>31</v>
      </c>
      <c r="J38" s="2">
        <v>15.25</v>
      </c>
      <c r="K38" s="2">
        <f t="shared" si="6"/>
        <v>15.25</v>
      </c>
      <c r="L38" s="2">
        <f t="shared" si="8"/>
        <v>0.1</v>
      </c>
      <c r="M38" s="27"/>
      <c r="N38" s="27"/>
    </row>
    <row r="39" spans="1:14" ht="14.25" x14ac:dyDescent="0.15">
      <c r="A39" s="27"/>
      <c r="B39" s="31"/>
      <c r="C39" s="27">
        <v>30</v>
      </c>
      <c r="D39" s="27">
        <v>1</v>
      </c>
      <c r="E39" s="2" t="s">
        <v>48</v>
      </c>
      <c r="F39" s="36"/>
      <c r="G39" s="2" t="s">
        <v>49</v>
      </c>
      <c r="H39" s="16">
        <v>7</v>
      </c>
      <c r="I39" s="27">
        <v>21</v>
      </c>
      <c r="J39" s="27">
        <v>14.85</v>
      </c>
      <c r="K39" s="27">
        <f t="shared" si="6"/>
        <v>14.85</v>
      </c>
      <c r="L39" s="27">
        <f t="shared" si="8"/>
        <v>0.1</v>
      </c>
      <c r="M39" s="27" t="s">
        <v>62</v>
      </c>
      <c r="N39" s="27"/>
    </row>
    <row r="40" spans="1:14" ht="14.25" x14ac:dyDescent="0.15">
      <c r="A40" s="27"/>
      <c r="B40" s="31"/>
      <c r="C40" s="27"/>
      <c r="D40" s="27"/>
      <c r="E40" s="2" t="s">
        <v>54</v>
      </c>
      <c r="F40" s="36"/>
      <c r="G40" s="2" t="s">
        <v>49</v>
      </c>
      <c r="H40" s="16">
        <v>12</v>
      </c>
      <c r="I40" s="27"/>
      <c r="J40" s="27"/>
      <c r="K40" s="27"/>
      <c r="L40" s="27"/>
      <c r="M40" s="27"/>
      <c r="N40" s="27"/>
    </row>
    <row r="41" spans="1:14" ht="14.25" x14ac:dyDescent="0.15">
      <c r="A41" s="27"/>
      <c r="B41" s="31"/>
      <c r="C41" s="27"/>
      <c r="D41" s="27"/>
      <c r="E41" s="2" t="s">
        <v>42</v>
      </c>
      <c r="F41" s="36"/>
      <c r="G41" s="2" t="s">
        <v>43</v>
      </c>
      <c r="H41" s="16">
        <v>2</v>
      </c>
      <c r="I41" s="27"/>
      <c r="J41" s="27"/>
      <c r="K41" s="27"/>
      <c r="L41" s="27"/>
      <c r="M41" s="27"/>
      <c r="N41" s="27"/>
    </row>
    <row r="42" spans="1:14" ht="14.25" x14ac:dyDescent="0.15">
      <c r="A42" s="27"/>
      <c r="B42" s="31"/>
      <c r="C42" s="27">
        <v>31</v>
      </c>
      <c r="D42" s="27">
        <v>1</v>
      </c>
      <c r="E42" s="2" t="s">
        <v>32</v>
      </c>
      <c r="F42" s="36"/>
      <c r="G42" s="2" t="s">
        <v>34</v>
      </c>
      <c r="H42" s="16">
        <v>8</v>
      </c>
      <c r="I42" s="2">
        <v>23</v>
      </c>
      <c r="J42" s="27">
        <v>7.7</v>
      </c>
      <c r="K42" s="27">
        <f t="shared" ref="K42:K48" si="9">J42*D42</f>
        <v>7.7</v>
      </c>
      <c r="L42" s="27">
        <v>0.05</v>
      </c>
      <c r="M42" s="27" t="s">
        <v>63</v>
      </c>
      <c r="N42" s="27"/>
    </row>
    <row r="43" spans="1:14" ht="14.25" x14ac:dyDescent="0.15">
      <c r="A43" s="27"/>
      <c r="B43" s="31"/>
      <c r="C43" s="27"/>
      <c r="D43" s="27"/>
      <c r="E43" s="2" t="s">
        <v>64</v>
      </c>
      <c r="F43" s="36"/>
      <c r="G43" s="2" t="s">
        <v>34</v>
      </c>
      <c r="H43" s="16">
        <v>15</v>
      </c>
      <c r="I43" s="2">
        <f t="shared" ref="I43:I48" si="10">H43*D43</f>
        <v>0</v>
      </c>
      <c r="J43" s="27"/>
      <c r="K43" s="27"/>
      <c r="L43" s="27"/>
      <c r="M43" s="27"/>
      <c r="N43" s="27"/>
    </row>
    <row r="44" spans="1:14" ht="14.25" x14ac:dyDescent="0.15">
      <c r="A44" s="27"/>
      <c r="B44" s="31"/>
      <c r="C44" s="27">
        <v>32</v>
      </c>
      <c r="D44" s="27">
        <v>1</v>
      </c>
      <c r="E44" s="2" t="s">
        <v>56</v>
      </c>
      <c r="F44" s="36"/>
      <c r="G44" s="2" t="s">
        <v>49</v>
      </c>
      <c r="H44" s="16">
        <v>2</v>
      </c>
      <c r="I44" s="27">
        <v>22</v>
      </c>
      <c r="J44" s="27">
        <v>11.45</v>
      </c>
      <c r="K44" s="27">
        <f t="shared" si="9"/>
        <v>11.45</v>
      </c>
      <c r="L44" s="27">
        <f>0.1*D44</f>
        <v>0.1</v>
      </c>
      <c r="M44" s="27" t="s">
        <v>62</v>
      </c>
      <c r="N44" s="27"/>
    </row>
    <row r="45" spans="1:14" ht="14.25" x14ac:dyDescent="0.15">
      <c r="A45" s="27"/>
      <c r="B45" s="31"/>
      <c r="C45" s="27"/>
      <c r="D45" s="27"/>
      <c r="E45" s="2" t="s">
        <v>61</v>
      </c>
      <c r="F45" s="36"/>
      <c r="G45" s="2" t="s">
        <v>49</v>
      </c>
      <c r="H45" s="16">
        <v>20</v>
      </c>
      <c r="I45" s="27"/>
      <c r="J45" s="27"/>
      <c r="K45" s="27"/>
      <c r="L45" s="27"/>
      <c r="M45" s="27"/>
      <c r="N45" s="27"/>
    </row>
    <row r="46" spans="1:14" ht="14.25" x14ac:dyDescent="0.15">
      <c r="A46" s="27"/>
      <c r="B46" s="31"/>
      <c r="C46" s="2">
        <v>33</v>
      </c>
      <c r="D46" s="2">
        <v>1</v>
      </c>
      <c r="E46" s="2" t="s">
        <v>58</v>
      </c>
      <c r="F46" s="36"/>
      <c r="G46" s="2" t="s">
        <v>49</v>
      </c>
      <c r="H46" s="16">
        <v>8</v>
      </c>
      <c r="I46" s="2">
        <f t="shared" si="10"/>
        <v>8</v>
      </c>
      <c r="J46" s="2">
        <v>12.1</v>
      </c>
      <c r="K46" s="2">
        <f t="shared" si="9"/>
        <v>12.1</v>
      </c>
      <c r="L46" s="2">
        <v>0.12</v>
      </c>
      <c r="M46" s="2" t="s">
        <v>59</v>
      </c>
      <c r="N46" s="27"/>
    </row>
    <row r="47" spans="1:14" ht="14.25" x14ac:dyDescent="0.15">
      <c r="A47" s="27"/>
      <c r="B47" s="31"/>
      <c r="C47" s="2">
        <v>34</v>
      </c>
      <c r="D47" s="2">
        <v>1</v>
      </c>
      <c r="E47" s="2" t="s">
        <v>42</v>
      </c>
      <c r="F47" s="36"/>
      <c r="G47" s="2" t="s">
        <v>43</v>
      </c>
      <c r="H47" s="16">
        <v>27</v>
      </c>
      <c r="I47" s="2">
        <f t="shared" si="10"/>
        <v>27</v>
      </c>
      <c r="J47" s="2">
        <v>19.75</v>
      </c>
      <c r="K47" s="2">
        <f t="shared" si="9"/>
        <v>19.75</v>
      </c>
      <c r="L47" s="2">
        <v>0.05</v>
      </c>
      <c r="M47" s="2" t="s">
        <v>35</v>
      </c>
      <c r="N47" s="27"/>
    </row>
    <row r="48" spans="1:14" ht="14.25" x14ac:dyDescent="0.15">
      <c r="A48" s="27"/>
      <c r="B48" s="31"/>
      <c r="C48" s="2">
        <v>35</v>
      </c>
      <c r="D48" s="2">
        <v>1</v>
      </c>
      <c r="E48" s="2" t="s">
        <v>58</v>
      </c>
      <c r="F48" s="36"/>
      <c r="G48" s="2" t="s">
        <v>49</v>
      </c>
      <c r="H48" s="16">
        <v>2</v>
      </c>
      <c r="I48" s="2">
        <f t="shared" si="10"/>
        <v>2</v>
      </c>
      <c r="J48" s="2">
        <v>3.6</v>
      </c>
      <c r="K48" s="2">
        <f t="shared" si="9"/>
        <v>3.6</v>
      </c>
      <c r="L48" s="2">
        <v>0.05</v>
      </c>
      <c r="M48" s="2" t="s">
        <v>63</v>
      </c>
      <c r="N48" s="27"/>
    </row>
    <row r="49" spans="1:14" ht="14.25" x14ac:dyDescent="0.15">
      <c r="A49" s="27"/>
      <c r="B49" s="31"/>
      <c r="C49" s="2">
        <v>36</v>
      </c>
      <c r="D49" s="2">
        <v>1</v>
      </c>
      <c r="E49" s="2" t="s">
        <v>65</v>
      </c>
      <c r="F49" s="36"/>
      <c r="G49" s="2" t="s">
        <v>49</v>
      </c>
      <c r="H49" s="16">
        <v>50</v>
      </c>
      <c r="I49" s="2">
        <v>50</v>
      </c>
      <c r="J49" s="2">
        <v>15.2</v>
      </c>
      <c r="K49" s="2">
        <v>15.2</v>
      </c>
      <c r="L49" s="2">
        <v>0.01</v>
      </c>
      <c r="M49" s="2" t="s">
        <v>62</v>
      </c>
      <c r="N49" s="27"/>
    </row>
    <row r="50" spans="1:14" ht="14.25" x14ac:dyDescent="0.15">
      <c r="A50" s="28">
        <v>1761</v>
      </c>
      <c r="B50" s="31" t="s">
        <v>66</v>
      </c>
      <c r="C50" s="2">
        <v>1</v>
      </c>
      <c r="D50" s="2">
        <v>1</v>
      </c>
      <c r="E50" s="2" t="s">
        <v>45</v>
      </c>
      <c r="F50" s="37" t="s">
        <v>33</v>
      </c>
      <c r="G50" s="2" t="s">
        <v>67</v>
      </c>
      <c r="H50" s="16">
        <v>21</v>
      </c>
      <c r="I50" s="2">
        <f>H50*D50</f>
        <v>21</v>
      </c>
      <c r="J50" s="2">
        <v>20.2</v>
      </c>
      <c r="K50" s="2">
        <f t="shared" ref="K50:K53" si="11">J50*D50</f>
        <v>20.2</v>
      </c>
      <c r="L50" s="2">
        <f t="shared" ref="L50:L53" si="12">0.1*D50</f>
        <v>0.1</v>
      </c>
      <c r="M50" s="27" t="s">
        <v>35</v>
      </c>
      <c r="N50" s="27" t="s">
        <v>36</v>
      </c>
    </row>
    <row r="51" spans="1:14" ht="14.25" x14ac:dyDescent="0.15">
      <c r="A51" s="20"/>
      <c r="B51" s="31"/>
      <c r="C51" s="27">
        <v>2</v>
      </c>
      <c r="D51" s="27">
        <v>1</v>
      </c>
      <c r="E51" s="2" t="s">
        <v>68</v>
      </c>
      <c r="F51" s="38"/>
      <c r="G51" s="15" t="s">
        <v>69</v>
      </c>
      <c r="H51" s="16">
        <v>20</v>
      </c>
      <c r="I51" s="27">
        <v>40</v>
      </c>
      <c r="J51" s="27">
        <v>20.95</v>
      </c>
      <c r="K51" s="27">
        <f t="shared" si="11"/>
        <v>20.95</v>
      </c>
      <c r="L51" s="27">
        <f t="shared" si="12"/>
        <v>0.1</v>
      </c>
      <c r="M51" s="27"/>
      <c r="N51" s="27"/>
    </row>
    <row r="52" spans="1:14" ht="14.25" x14ac:dyDescent="0.15">
      <c r="A52" s="20"/>
      <c r="B52" s="31"/>
      <c r="C52" s="27"/>
      <c r="D52" s="27"/>
      <c r="E52" s="2" t="s">
        <v>68</v>
      </c>
      <c r="F52" s="38"/>
      <c r="G52" s="15" t="s">
        <v>70</v>
      </c>
      <c r="H52" s="16">
        <v>20</v>
      </c>
      <c r="I52" s="27"/>
      <c r="J52" s="27"/>
      <c r="K52" s="27"/>
      <c r="L52" s="27"/>
      <c r="M52" s="27"/>
      <c r="N52" s="27"/>
    </row>
    <row r="53" spans="1:14" ht="14.25" x14ac:dyDescent="0.15">
      <c r="A53" s="20"/>
      <c r="B53" s="31"/>
      <c r="C53" s="27">
        <v>3</v>
      </c>
      <c r="D53" s="27">
        <v>1</v>
      </c>
      <c r="E53" s="2" t="s">
        <v>71</v>
      </c>
      <c r="F53" s="38"/>
      <c r="G53" s="15" t="s">
        <v>69</v>
      </c>
      <c r="H53" s="16">
        <v>40</v>
      </c>
      <c r="I53" s="27">
        <v>100</v>
      </c>
      <c r="J53" s="27">
        <v>19.850000000000001</v>
      </c>
      <c r="K53" s="27">
        <f t="shared" si="11"/>
        <v>19.850000000000001</v>
      </c>
      <c r="L53" s="27">
        <f t="shared" si="12"/>
        <v>0.1</v>
      </c>
      <c r="M53" s="27"/>
      <c r="N53" s="27"/>
    </row>
    <row r="54" spans="1:14" ht="14.25" x14ac:dyDescent="0.15">
      <c r="A54" s="20"/>
      <c r="B54" s="31"/>
      <c r="C54" s="27"/>
      <c r="D54" s="27"/>
      <c r="E54" s="2" t="s">
        <v>71</v>
      </c>
      <c r="F54" s="38"/>
      <c r="G54" s="15" t="s">
        <v>70</v>
      </c>
      <c r="H54" s="16">
        <v>40</v>
      </c>
      <c r="I54" s="27"/>
      <c r="J54" s="27"/>
      <c r="K54" s="27"/>
      <c r="L54" s="27"/>
      <c r="M54" s="27"/>
      <c r="N54" s="27"/>
    </row>
    <row r="55" spans="1:14" ht="14.25" x14ac:dyDescent="0.15">
      <c r="A55" s="20"/>
      <c r="B55" s="31"/>
      <c r="C55" s="27"/>
      <c r="D55" s="27"/>
      <c r="E55" s="2" t="s">
        <v>71</v>
      </c>
      <c r="F55" s="38"/>
      <c r="G55" s="2" t="s">
        <v>67</v>
      </c>
      <c r="H55" s="2">
        <v>20</v>
      </c>
      <c r="I55" s="27"/>
      <c r="J55" s="27"/>
      <c r="K55" s="27"/>
      <c r="L55" s="27"/>
      <c r="M55" s="27"/>
      <c r="N55" s="27"/>
    </row>
    <row r="56" spans="1:14" ht="14.25" x14ac:dyDescent="0.15">
      <c r="A56" s="20"/>
      <c r="B56" s="31"/>
      <c r="C56" s="33">
        <v>4</v>
      </c>
      <c r="D56" s="27">
        <v>1</v>
      </c>
      <c r="E56" s="2" t="s">
        <v>45</v>
      </c>
      <c r="F56" s="38"/>
      <c r="G56" s="2" t="s">
        <v>72</v>
      </c>
      <c r="H56" s="2">
        <v>15</v>
      </c>
      <c r="I56" s="27">
        <v>25</v>
      </c>
      <c r="J56" s="27">
        <v>20.05</v>
      </c>
      <c r="K56" s="27">
        <f>J56*D56</f>
        <v>20.05</v>
      </c>
      <c r="L56" s="27">
        <f>0.1*D56</f>
        <v>0.1</v>
      </c>
      <c r="M56" s="27"/>
      <c r="N56" s="27"/>
    </row>
    <row r="57" spans="1:14" ht="14.25" x14ac:dyDescent="0.15">
      <c r="A57" s="20"/>
      <c r="B57" s="31"/>
      <c r="C57" s="33"/>
      <c r="D57" s="27"/>
      <c r="E57" s="2" t="s">
        <v>68</v>
      </c>
      <c r="F57" s="38"/>
      <c r="G57" s="2" t="s">
        <v>72</v>
      </c>
      <c r="H57" s="2">
        <v>10</v>
      </c>
      <c r="I57" s="27"/>
      <c r="J57" s="27"/>
      <c r="K57" s="27"/>
      <c r="L57" s="27"/>
      <c r="M57" s="27"/>
      <c r="N57" s="27"/>
    </row>
    <row r="58" spans="1:14" ht="14.25" x14ac:dyDescent="0.15">
      <c r="A58" s="20"/>
      <c r="B58" s="31"/>
      <c r="C58" s="27">
        <v>5</v>
      </c>
      <c r="D58" s="27">
        <v>1</v>
      </c>
      <c r="E58" s="2" t="s">
        <v>71</v>
      </c>
      <c r="F58" s="38"/>
      <c r="G58" s="2" t="s">
        <v>72</v>
      </c>
      <c r="H58" s="2">
        <v>40</v>
      </c>
      <c r="I58" s="27">
        <v>70</v>
      </c>
      <c r="J58" s="27">
        <v>20.5</v>
      </c>
      <c r="K58" s="27">
        <f t="shared" ref="K58:K65" si="13">J58*D58</f>
        <v>20.5</v>
      </c>
      <c r="L58" s="27">
        <f>0.1*D58</f>
        <v>0.1</v>
      </c>
      <c r="M58" s="27"/>
      <c r="N58" s="27"/>
    </row>
    <row r="59" spans="1:14" ht="14.25" x14ac:dyDescent="0.15">
      <c r="A59" s="20"/>
      <c r="B59" s="31"/>
      <c r="C59" s="27"/>
      <c r="D59" s="27"/>
      <c r="E59" s="2" t="s">
        <v>71</v>
      </c>
      <c r="F59" s="38"/>
      <c r="G59" s="2" t="s">
        <v>67</v>
      </c>
      <c r="H59" s="2">
        <v>10</v>
      </c>
      <c r="I59" s="27"/>
      <c r="J59" s="27"/>
      <c r="K59" s="27"/>
      <c r="L59" s="27"/>
      <c r="M59" s="27"/>
      <c r="N59" s="27"/>
    </row>
    <row r="60" spans="1:14" ht="14.25" x14ac:dyDescent="0.15">
      <c r="A60" s="20"/>
      <c r="B60" s="31"/>
      <c r="C60" s="27"/>
      <c r="D60" s="27"/>
      <c r="E60" s="2" t="s">
        <v>68</v>
      </c>
      <c r="F60" s="38"/>
      <c r="G60" s="2" t="s">
        <v>67</v>
      </c>
      <c r="H60" s="2">
        <v>10</v>
      </c>
      <c r="I60" s="27"/>
      <c r="J60" s="27"/>
      <c r="K60" s="27"/>
      <c r="L60" s="27"/>
      <c r="M60" s="27"/>
      <c r="N60" s="27"/>
    </row>
    <row r="61" spans="1:14" ht="14.25" x14ac:dyDescent="0.15">
      <c r="A61" s="20"/>
      <c r="B61" s="31"/>
      <c r="C61" s="27"/>
      <c r="D61" s="27"/>
      <c r="E61" s="2" t="s">
        <v>68</v>
      </c>
      <c r="F61" s="38"/>
      <c r="G61" s="2" t="s">
        <v>72</v>
      </c>
      <c r="H61" s="2">
        <v>10</v>
      </c>
      <c r="I61" s="27"/>
      <c r="J61" s="27"/>
      <c r="K61" s="27"/>
      <c r="L61" s="27"/>
      <c r="M61" s="27"/>
      <c r="N61" s="27"/>
    </row>
    <row r="62" spans="1:14" ht="14.25" x14ac:dyDescent="0.15">
      <c r="A62" s="20"/>
      <c r="B62" s="31"/>
      <c r="C62" s="2">
        <v>6</v>
      </c>
      <c r="D62" s="2">
        <v>1</v>
      </c>
      <c r="E62" s="2" t="s">
        <v>45</v>
      </c>
      <c r="F62" s="38"/>
      <c r="G62" s="2" t="s">
        <v>73</v>
      </c>
      <c r="H62" s="2">
        <v>21</v>
      </c>
      <c r="I62" s="2">
        <f t="shared" ref="I62:I64" si="14">H62*D62</f>
        <v>21</v>
      </c>
      <c r="J62" s="2">
        <v>20.7</v>
      </c>
      <c r="K62" s="2">
        <f t="shared" si="13"/>
        <v>20.7</v>
      </c>
      <c r="L62" s="2">
        <f t="shared" ref="L62:L65" si="15">0.1*D62</f>
        <v>0.1</v>
      </c>
      <c r="M62" s="27"/>
      <c r="N62" s="27"/>
    </row>
    <row r="63" spans="1:14" ht="14.25" x14ac:dyDescent="0.15">
      <c r="A63" s="20"/>
      <c r="B63" s="31"/>
      <c r="C63" s="2">
        <v>7</v>
      </c>
      <c r="D63" s="2">
        <v>1</v>
      </c>
      <c r="E63" s="2" t="s">
        <v>42</v>
      </c>
      <c r="F63" s="38"/>
      <c r="G63" s="2" t="s">
        <v>67</v>
      </c>
      <c r="H63" s="2">
        <v>4</v>
      </c>
      <c r="I63" s="2">
        <f t="shared" si="14"/>
        <v>4</v>
      </c>
      <c r="J63" s="2">
        <v>3.2</v>
      </c>
      <c r="K63" s="2">
        <f t="shared" si="13"/>
        <v>3.2</v>
      </c>
      <c r="L63" s="2">
        <v>0.05</v>
      </c>
      <c r="M63" s="2" t="s">
        <v>74</v>
      </c>
      <c r="N63" s="27"/>
    </row>
    <row r="64" spans="1:14" ht="14.25" x14ac:dyDescent="0.15">
      <c r="A64" s="20"/>
      <c r="B64" s="31"/>
      <c r="C64" s="2">
        <v>8</v>
      </c>
      <c r="D64" s="2">
        <v>1</v>
      </c>
      <c r="E64" s="2" t="s">
        <v>42</v>
      </c>
      <c r="F64" s="38"/>
      <c r="G64" s="2" t="s">
        <v>72</v>
      </c>
      <c r="H64" s="2">
        <v>27</v>
      </c>
      <c r="I64" s="2">
        <f t="shared" si="14"/>
        <v>27</v>
      </c>
      <c r="J64" s="2">
        <v>19.899999999999999</v>
      </c>
      <c r="K64" s="2">
        <f t="shared" si="13"/>
        <v>19.899999999999999</v>
      </c>
      <c r="L64" s="2">
        <f t="shared" si="15"/>
        <v>0.1</v>
      </c>
      <c r="M64" s="27" t="s">
        <v>35</v>
      </c>
      <c r="N64" s="27"/>
    </row>
    <row r="65" spans="1:14" ht="14.25" x14ac:dyDescent="0.15">
      <c r="A65" s="20"/>
      <c r="B65" s="31"/>
      <c r="C65" s="27">
        <v>9</v>
      </c>
      <c r="D65" s="27">
        <v>1</v>
      </c>
      <c r="E65" s="2" t="s">
        <v>71</v>
      </c>
      <c r="F65" s="38"/>
      <c r="G65" s="2" t="s">
        <v>73</v>
      </c>
      <c r="H65" s="2">
        <v>30</v>
      </c>
      <c r="I65" s="27">
        <v>48</v>
      </c>
      <c r="J65" s="27">
        <v>19.100000000000001</v>
      </c>
      <c r="K65" s="27">
        <f t="shared" si="13"/>
        <v>19.100000000000001</v>
      </c>
      <c r="L65" s="27">
        <f t="shared" si="15"/>
        <v>0.1</v>
      </c>
      <c r="M65" s="27"/>
      <c r="N65" s="27"/>
    </row>
    <row r="66" spans="1:14" ht="14.25" x14ac:dyDescent="0.15">
      <c r="A66" s="20"/>
      <c r="B66" s="31"/>
      <c r="C66" s="27"/>
      <c r="D66" s="27"/>
      <c r="E66" s="2" t="s">
        <v>68</v>
      </c>
      <c r="F66" s="38"/>
      <c r="G66" s="2" t="s">
        <v>73</v>
      </c>
      <c r="H66" s="2">
        <v>10</v>
      </c>
      <c r="I66" s="27"/>
      <c r="J66" s="27"/>
      <c r="K66" s="27"/>
      <c r="L66" s="27"/>
      <c r="M66" s="27"/>
      <c r="N66" s="27"/>
    </row>
    <row r="67" spans="1:14" ht="14.25" x14ac:dyDescent="0.15">
      <c r="A67" s="20"/>
      <c r="B67" s="31"/>
      <c r="C67" s="27"/>
      <c r="D67" s="27"/>
      <c r="E67" s="2" t="s">
        <v>45</v>
      </c>
      <c r="F67" s="38"/>
      <c r="G67" s="2" t="s">
        <v>73</v>
      </c>
      <c r="H67" s="2">
        <v>4</v>
      </c>
      <c r="I67" s="27"/>
      <c r="J67" s="27"/>
      <c r="K67" s="27"/>
      <c r="L67" s="27"/>
      <c r="M67" s="27"/>
      <c r="N67" s="27"/>
    </row>
    <row r="68" spans="1:14" ht="14.25" x14ac:dyDescent="0.15">
      <c r="A68" s="20"/>
      <c r="B68" s="31"/>
      <c r="C68" s="27"/>
      <c r="D68" s="27"/>
      <c r="E68" s="2" t="s">
        <v>45</v>
      </c>
      <c r="F68" s="38"/>
      <c r="G68" s="2" t="s">
        <v>67</v>
      </c>
      <c r="H68" s="2">
        <v>4</v>
      </c>
      <c r="I68" s="27"/>
      <c r="J68" s="27"/>
      <c r="K68" s="27"/>
      <c r="L68" s="27"/>
      <c r="M68" s="27"/>
      <c r="N68" s="27"/>
    </row>
    <row r="69" spans="1:14" ht="14.25" x14ac:dyDescent="0.15">
      <c r="A69" s="20"/>
      <c r="B69" s="31"/>
      <c r="C69" s="27">
        <v>10</v>
      </c>
      <c r="D69" s="27">
        <v>1</v>
      </c>
      <c r="E69" s="2" t="s">
        <v>42</v>
      </c>
      <c r="F69" s="38"/>
      <c r="G69" s="2" t="s">
        <v>72</v>
      </c>
      <c r="H69" s="2">
        <v>8</v>
      </c>
      <c r="I69" s="27">
        <v>27</v>
      </c>
      <c r="J69" s="27">
        <v>19.899999999999999</v>
      </c>
      <c r="K69" s="27">
        <f t="shared" ref="K69:K75" si="16">J69*D69</f>
        <v>19.899999999999999</v>
      </c>
      <c r="L69" s="27">
        <f t="shared" ref="L69:L75" si="17">0.1*D69</f>
        <v>0.1</v>
      </c>
      <c r="M69" s="27"/>
      <c r="N69" s="27"/>
    </row>
    <row r="70" spans="1:14" ht="14.25" x14ac:dyDescent="0.15">
      <c r="A70" s="20"/>
      <c r="B70" s="31"/>
      <c r="C70" s="27"/>
      <c r="D70" s="27"/>
      <c r="E70" s="2" t="s">
        <v>42</v>
      </c>
      <c r="F70" s="38"/>
      <c r="G70" s="2" t="s">
        <v>67</v>
      </c>
      <c r="H70" s="2">
        <v>19</v>
      </c>
      <c r="I70" s="27"/>
      <c r="J70" s="27"/>
      <c r="K70" s="27"/>
      <c r="L70" s="27"/>
      <c r="M70" s="27"/>
      <c r="N70" s="27"/>
    </row>
    <row r="71" spans="1:14" ht="14.25" x14ac:dyDescent="0.15">
      <c r="A71" s="20"/>
      <c r="B71" s="31"/>
      <c r="C71" s="27">
        <v>11</v>
      </c>
      <c r="D71" s="27">
        <v>1</v>
      </c>
      <c r="E71" s="2" t="s">
        <v>42</v>
      </c>
      <c r="F71" s="38"/>
      <c r="G71" s="2" t="s">
        <v>73</v>
      </c>
      <c r="H71" s="2">
        <v>25</v>
      </c>
      <c r="I71" s="27">
        <v>27</v>
      </c>
      <c r="J71" s="27">
        <v>20.5</v>
      </c>
      <c r="K71" s="27">
        <f t="shared" si="16"/>
        <v>20.5</v>
      </c>
      <c r="L71" s="27">
        <f t="shared" si="17"/>
        <v>0.1</v>
      </c>
      <c r="M71" s="27"/>
      <c r="N71" s="27"/>
    </row>
    <row r="72" spans="1:14" ht="14.25" x14ac:dyDescent="0.15">
      <c r="A72" s="20"/>
      <c r="B72" s="31"/>
      <c r="C72" s="27"/>
      <c r="D72" s="27"/>
      <c r="E72" s="2" t="s">
        <v>42</v>
      </c>
      <c r="F72" s="38"/>
      <c r="G72" s="2" t="s">
        <v>67</v>
      </c>
      <c r="H72" s="2">
        <v>2</v>
      </c>
      <c r="I72" s="27"/>
      <c r="J72" s="27"/>
      <c r="K72" s="27"/>
      <c r="L72" s="27"/>
      <c r="M72" s="27"/>
      <c r="N72" s="27"/>
    </row>
    <row r="73" spans="1:14" ht="14.25" x14ac:dyDescent="0.15">
      <c r="A73" s="29"/>
      <c r="B73" s="31"/>
      <c r="C73" s="2">
        <v>12</v>
      </c>
      <c r="D73" s="2">
        <v>1</v>
      </c>
      <c r="E73" s="2" t="s">
        <v>45</v>
      </c>
      <c r="F73" s="39"/>
      <c r="G73" s="2" t="s">
        <v>72</v>
      </c>
      <c r="H73" s="2">
        <v>20</v>
      </c>
      <c r="I73" s="2">
        <f>H73*D73</f>
        <v>20</v>
      </c>
      <c r="J73" s="2">
        <v>19.600000000000001</v>
      </c>
      <c r="K73" s="2">
        <f t="shared" si="16"/>
        <v>19.600000000000001</v>
      </c>
      <c r="L73" s="2">
        <f t="shared" si="17"/>
        <v>0.1</v>
      </c>
      <c r="M73" s="27"/>
      <c r="N73" s="27"/>
    </row>
    <row r="74" spans="1:14" ht="71.25" x14ac:dyDescent="0.15">
      <c r="A74" s="2">
        <v>1820</v>
      </c>
      <c r="B74" s="12" t="s">
        <v>75</v>
      </c>
      <c r="C74" s="2">
        <v>1</v>
      </c>
      <c r="D74" s="16">
        <v>1</v>
      </c>
      <c r="E74" s="2" t="s">
        <v>76</v>
      </c>
      <c r="F74" s="13" t="s">
        <v>33</v>
      </c>
      <c r="G74" s="2" t="s">
        <v>77</v>
      </c>
      <c r="H74" s="2">
        <v>20</v>
      </c>
      <c r="I74" s="2">
        <f>H74*D74</f>
        <v>20</v>
      </c>
      <c r="J74" s="2">
        <v>16.25</v>
      </c>
      <c r="K74" s="2">
        <f t="shared" si="16"/>
        <v>16.25</v>
      </c>
      <c r="L74" s="2">
        <f t="shared" si="17"/>
        <v>0.1</v>
      </c>
      <c r="M74" s="2" t="s">
        <v>62</v>
      </c>
      <c r="N74" s="2" t="s">
        <v>36</v>
      </c>
    </row>
    <row r="75" spans="1:14" ht="14.25" x14ac:dyDescent="0.15">
      <c r="A75" s="27">
        <v>1747</v>
      </c>
      <c r="B75" s="31" t="s">
        <v>78</v>
      </c>
      <c r="C75" s="27">
        <v>1</v>
      </c>
      <c r="D75" s="27">
        <v>1</v>
      </c>
      <c r="E75" s="2" t="s">
        <v>79</v>
      </c>
      <c r="F75" s="36" t="s">
        <v>33</v>
      </c>
      <c r="G75" s="2" t="s">
        <v>69</v>
      </c>
      <c r="H75" s="2">
        <v>18</v>
      </c>
      <c r="I75" s="27">
        <v>22</v>
      </c>
      <c r="J75" s="27">
        <v>18.7</v>
      </c>
      <c r="K75" s="27">
        <f t="shared" si="16"/>
        <v>18.7</v>
      </c>
      <c r="L75" s="27">
        <f t="shared" si="17"/>
        <v>0.1</v>
      </c>
      <c r="M75" s="28" t="s">
        <v>35</v>
      </c>
      <c r="N75" s="27" t="s">
        <v>36</v>
      </c>
    </row>
    <row r="76" spans="1:14" ht="14.25" x14ac:dyDescent="0.15">
      <c r="A76" s="27"/>
      <c r="B76" s="31"/>
      <c r="C76" s="27"/>
      <c r="D76" s="27"/>
      <c r="E76" s="2" t="s">
        <v>79</v>
      </c>
      <c r="F76" s="36"/>
      <c r="G76" s="15" t="s">
        <v>39</v>
      </c>
      <c r="H76" s="2">
        <v>4</v>
      </c>
      <c r="I76" s="27"/>
      <c r="J76" s="27"/>
      <c r="K76" s="27"/>
      <c r="L76" s="27"/>
      <c r="M76" s="20"/>
      <c r="N76" s="27"/>
    </row>
    <row r="77" spans="1:14" ht="14.25" x14ac:dyDescent="0.15">
      <c r="A77" s="27"/>
      <c r="B77" s="31"/>
      <c r="C77" s="27">
        <v>2</v>
      </c>
      <c r="D77" s="27">
        <v>1</v>
      </c>
      <c r="E77" s="2" t="s">
        <v>79</v>
      </c>
      <c r="F77" s="36"/>
      <c r="G77" s="15" t="s">
        <v>43</v>
      </c>
      <c r="H77" s="2">
        <v>14</v>
      </c>
      <c r="I77" s="27">
        <v>22</v>
      </c>
      <c r="J77" s="27">
        <v>19.3</v>
      </c>
      <c r="K77" s="27">
        <f>J77*D77</f>
        <v>19.3</v>
      </c>
      <c r="L77" s="27">
        <f>0.1*D77</f>
        <v>0.1</v>
      </c>
      <c r="M77" s="20"/>
      <c r="N77" s="27"/>
    </row>
    <row r="78" spans="1:14" ht="14.25" x14ac:dyDescent="0.15">
      <c r="A78" s="27"/>
      <c r="B78" s="31"/>
      <c r="C78" s="27"/>
      <c r="D78" s="27"/>
      <c r="E78" s="2" t="s">
        <v>79</v>
      </c>
      <c r="F78" s="36"/>
      <c r="G78" s="2" t="s">
        <v>49</v>
      </c>
      <c r="H78" s="2">
        <v>8</v>
      </c>
      <c r="I78" s="27"/>
      <c r="J78" s="27"/>
      <c r="K78" s="27"/>
      <c r="L78" s="27"/>
      <c r="M78" s="20"/>
      <c r="N78" s="27"/>
    </row>
    <row r="79" spans="1:14" ht="14.25" x14ac:dyDescent="0.15">
      <c r="A79" s="27"/>
      <c r="B79" s="31"/>
      <c r="C79" s="27">
        <v>3</v>
      </c>
      <c r="D79" s="27">
        <v>1</v>
      </c>
      <c r="E79" s="2" t="s">
        <v>80</v>
      </c>
      <c r="F79" s="36"/>
      <c r="G79" s="15" t="s">
        <v>39</v>
      </c>
      <c r="H79" s="2">
        <v>28</v>
      </c>
      <c r="I79" s="27">
        <v>47</v>
      </c>
      <c r="J79" s="27">
        <v>17.2</v>
      </c>
      <c r="K79" s="27">
        <f>J79*D79</f>
        <v>17.2</v>
      </c>
      <c r="L79" s="27">
        <f>0.1*D79</f>
        <v>0.1</v>
      </c>
      <c r="M79" s="20"/>
      <c r="N79" s="27"/>
    </row>
    <row r="80" spans="1:14" ht="14.25" x14ac:dyDescent="0.15">
      <c r="A80" s="27"/>
      <c r="B80" s="31"/>
      <c r="C80" s="27"/>
      <c r="D80" s="27"/>
      <c r="E80" s="2" t="s">
        <v>80</v>
      </c>
      <c r="F80" s="36"/>
      <c r="G80" s="15" t="s">
        <v>43</v>
      </c>
      <c r="H80" s="2">
        <v>5</v>
      </c>
      <c r="I80" s="27"/>
      <c r="J80" s="27"/>
      <c r="K80" s="27"/>
      <c r="L80" s="27"/>
      <c r="M80" s="20"/>
      <c r="N80" s="27"/>
    </row>
    <row r="81" spans="1:14" ht="14.25" x14ac:dyDescent="0.15">
      <c r="A81" s="27"/>
      <c r="B81" s="31"/>
      <c r="C81" s="27"/>
      <c r="D81" s="27"/>
      <c r="E81" s="2" t="s">
        <v>80</v>
      </c>
      <c r="F81" s="36"/>
      <c r="G81" s="2" t="s">
        <v>49</v>
      </c>
      <c r="H81" s="2">
        <v>7</v>
      </c>
      <c r="I81" s="27"/>
      <c r="J81" s="27"/>
      <c r="K81" s="27"/>
      <c r="L81" s="27"/>
      <c r="M81" s="20"/>
      <c r="N81" s="27"/>
    </row>
    <row r="82" spans="1:14" ht="14.25" x14ac:dyDescent="0.15">
      <c r="A82" s="27"/>
      <c r="B82" s="31"/>
      <c r="C82" s="27"/>
      <c r="D82" s="27"/>
      <c r="E82" s="2" t="s">
        <v>79</v>
      </c>
      <c r="F82" s="36"/>
      <c r="G82" s="15" t="s">
        <v>39</v>
      </c>
      <c r="H82" s="2">
        <v>7</v>
      </c>
      <c r="I82" s="27"/>
      <c r="J82" s="27"/>
      <c r="K82" s="27"/>
      <c r="L82" s="27"/>
      <c r="M82" s="20"/>
      <c r="N82" s="27"/>
    </row>
    <row r="83" spans="1:14" ht="14.25" x14ac:dyDescent="0.15">
      <c r="A83" s="27"/>
      <c r="B83" s="31"/>
      <c r="C83" s="34">
        <v>4</v>
      </c>
      <c r="D83" s="27">
        <v>1</v>
      </c>
      <c r="E83" s="2" t="s">
        <v>79</v>
      </c>
      <c r="F83" s="36"/>
      <c r="G83" s="2" t="s">
        <v>49</v>
      </c>
      <c r="H83" s="2">
        <v>5</v>
      </c>
      <c r="I83" s="27">
        <v>23</v>
      </c>
      <c r="J83" s="27">
        <v>19.7</v>
      </c>
      <c r="K83" s="27">
        <f>J83*D83</f>
        <v>19.7</v>
      </c>
      <c r="L83" s="27">
        <f>0.1*D83</f>
        <v>0.1</v>
      </c>
      <c r="M83" s="20"/>
      <c r="N83" s="27"/>
    </row>
    <row r="84" spans="1:14" ht="14.25" x14ac:dyDescent="0.15">
      <c r="A84" s="27"/>
      <c r="B84" s="31"/>
      <c r="C84" s="34"/>
      <c r="D84" s="27"/>
      <c r="E84" s="2" t="s">
        <v>79</v>
      </c>
      <c r="F84" s="36"/>
      <c r="G84" s="15" t="s">
        <v>43</v>
      </c>
      <c r="H84" s="2">
        <v>8</v>
      </c>
      <c r="I84" s="27"/>
      <c r="J84" s="27"/>
      <c r="K84" s="27"/>
      <c r="L84" s="27"/>
      <c r="M84" s="20"/>
      <c r="N84" s="27"/>
    </row>
    <row r="85" spans="1:14" ht="14.25" x14ac:dyDescent="0.15">
      <c r="A85" s="27"/>
      <c r="B85" s="31"/>
      <c r="C85" s="34"/>
      <c r="D85" s="27"/>
      <c r="E85" s="2" t="s">
        <v>79</v>
      </c>
      <c r="F85" s="36"/>
      <c r="G85" s="2" t="s">
        <v>69</v>
      </c>
      <c r="H85" s="2">
        <v>3</v>
      </c>
      <c r="I85" s="27"/>
      <c r="J85" s="27"/>
      <c r="K85" s="27"/>
      <c r="L85" s="27"/>
      <c r="M85" s="20"/>
      <c r="N85" s="27"/>
    </row>
    <row r="86" spans="1:14" ht="14.25" x14ac:dyDescent="0.15">
      <c r="A86" s="27"/>
      <c r="B86" s="31"/>
      <c r="C86" s="34"/>
      <c r="D86" s="27"/>
      <c r="E86" s="2" t="s">
        <v>79</v>
      </c>
      <c r="F86" s="36"/>
      <c r="G86" s="15" t="s">
        <v>39</v>
      </c>
      <c r="H86" s="2">
        <v>7</v>
      </c>
      <c r="I86" s="27"/>
      <c r="J86" s="27"/>
      <c r="K86" s="27"/>
      <c r="L86" s="27"/>
      <c r="M86" s="20"/>
      <c r="N86" s="27"/>
    </row>
    <row r="87" spans="1:14" ht="14.25" x14ac:dyDescent="0.15">
      <c r="A87" s="27"/>
      <c r="B87" s="31"/>
      <c r="C87" s="28">
        <v>5</v>
      </c>
      <c r="D87" s="28">
        <v>1</v>
      </c>
      <c r="E87" s="2" t="s">
        <v>79</v>
      </c>
      <c r="F87" s="36"/>
      <c r="G87" s="15" t="s">
        <v>39</v>
      </c>
      <c r="H87" s="2">
        <v>17</v>
      </c>
      <c r="I87" s="28">
        <v>34</v>
      </c>
      <c r="J87" s="28">
        <v>18.75</v>
      </c>
      <c r="K87" s="28">
        <f>J87*D87</f>
        <v>18.75</v>
      </c>
      <c r="L87" s="28">
        <f>0.1*D87</f>
        <v>0.1</v>
      </c>
      <c r="M87" s="20"/>
      <c r="N87" s="27"/>
    </row>
    <row r="88" spans="1:14" ht="14.25" x14ac:dyDescent="0.15">
      <c r="A88" s="27"/>
      <c r="B88" s="31"/>
      <c r="C88" s="20"/>
      <c r="D88" s="20"/>
      <c r="E88" s="2" t="s">
        <v>80</v>
      </c>
      <c r="F88" s="36"/>
      <c r="G88" s="2" t="s">
        <v>69</v>
      </c>
      <c r="H88" s="2">
        <v>7</v>
      </c>
      <c r="I88" s="20"/>
      <c r="J88" s="20"/>
      <c r="K88" s="20"/>
      <c r="L88" s="20"/>
      <c r="M88" s="20"/>
      <c r="N88" s="27"/>
    </row>
    <row r="89" spans="1:14" ht="14.25" x14ac:dyDescent="0.15">
      <c r="A89" s="27"/>
      <c r="B89" s="31"/>
      <c r="C89" s="20"/>
      <c r="D89" s="20"/>
      <c r="E89" s="2" t="s">
        <v>80</v>
      </c>
      <c r="F89" s="36"/>
      <c r="G89" s="15" t="s">
        <v>39</v>
      </c>
      <c r="H89" s="2">
        <v>4</v>
      </c>
      <c r="I89" s="20"/>
      <c r="J89" s="20"/>
      <c r="K89" s="20"/>
      <c r="L89" s="20"/>
      <c r="M89" s="20"/>
      <c r="N89" s="27"/>
    </row>
    <row r="90" spans="1:14" ht="14.25" x14ac:dyDescent="0.15">
      <c r="A90" s="27"/>
      <c r="B90" s="31"/>
      <c r="C90" s="29"/>
      <c r="D90" s="29"/>
      <c r="E90" s="2" t="s">
        <v>80</v>
      </c>
      <c r="F90" s="36"/>
      <c r="G90" s="2" t="s">
        <v>49</v>
      </c>
      <c r="H90" s="2">
        <v>6</v>
      </c>
      <c r="I90" s="29"/>
      <c r="J90" s="29"/>
      <c r="K90" s="29"/>
      <c r="L90" s="29"/>
      <c r="M90" s="29"/>
      <c r="N90" s="27"/>
    </row>
    <row r="91" spans="1:14" ht="14.25" x14ac:dyDescent="0.15">
      <c r="A91" s="27"/>
      <c r="B91" s="31"/>
      <c r="C91" s="2">
        <v>6</v>
      </c>
      <c r="D91" s="2">
        <v>1</v>
      </c>
      <c r="E91" s="2" t="s">
        <v>79</v>
      </c>
      <c r="F91" s="36"/>
      <c r="G91" s="15" t="s">
        <v>39</v>
      </c>
      <c r="H91" s="2">
        <v>11</v>
      </c>
      <c r="I91" s="2">
        <f>H91*D91</f>
        <v>11</v>
      </c>
      <c r="J91" s="2">
        <v>12.1</v>
      </c>
      <c r="K91" s="2">
        <f>J91*D91</f>
        <v>12.1</v>
      </c>
      <c r="L91" s="2">
        <v>0.05</v>
      </c>
      <c r="M91" s="2" t="s">
        <v>62</v>
      </c>
      <c r="N91" s="27"/>
    </row>
    <row r="92" spans="1:14" ht="14.25" x14ac:dyDescent="0.15">
      <c r="A92" s="30"/>
      <c r="B92" s="32"/>
      <c r="C92" s="30"/>
      <c r="D92" s="17">
        <f>SUM(D16:D91)</f>
        <v>55</v>
      </c>
      <c r="E92" s="17"/>
      <c r="F92" s="40"/>
      <c r="G92" s="17"/>
      <c r="H92" s="17"/>
      <c r="I92" s="17">
        <f>SUM(I16:I91)</f>
        <v>1439</v>
      </c>
      <c r="J92" s="18"/>
      <c r="K92" s="17">
        <f>SUM(K16:K91)</f>
        <v>939.6</v>
      </c>
      <c r="L92" s="17">
        <f>SUM(L16:L91)</f>
        <v>5.28</v>
      </c>
      <c r="M92" s="30"/>
      <c r="N92" s="30"/>
    </row>
    <row r="93" spans="1:14" ht="14.25" x14ac:dyDescent="0.15">
      <c r="A93" s="30"/>
      <c r="B93" s="32"/>
      <c r="C93" s="30"/>
      <c r="D93" s="18"/>
      <c r="E93" s="17"/>
      <c r="F93" s="40"/>
      <c r="H93" s="17"/>
      <c r="I93" s="18"/>
      <c r="J93" s="18"/>
      <c r="K93" s="18"/>
      <c r="L93" s="18"/>
      <c r="M93" s="30"/>
      <c r="N93" s="30"/>
    </row>
    <row r="94" spans="1:14" ht="14.25" x14ac:dyDescent="0.15">
      <c r="A94" s="30"/>
      <c r="B94" s="32"/>
      <c r="C94" s="30"/>
      <c r="D94" s="30"/>
      <c r="E94" s="17"/>
      <c r="F94" s="40"/>
      <c r="H94" s="17"/>
      <c r="I94" s="30"/>
      <c r="J94" s="30"/>
      <c r="K94" s="30"/>
      <c r="L94" s="30"/>
      <c r="M94" s="30"/>
      <c r="N94" s="30"/>
    </row>
    <row r="95" spans="1:14" ht="14.25" x14ac:dyDescent="0.15">
      <c r="A95" s="30"/>
      <c r="B95" s="32"/>
      <c r="C95" s="30"/>
      <c r="D95" s="30"/>
      <c r="E95" s="17"/>
      <c r="F95" s="40"/>
      <c r="G95" s="17"/>
      <c r="H95" s="17"/>
      <c r="I95" s="30"/>
      <c r="J95" s="30"/>
      <c r="K95" s="30"/>
      <c r="L95" s="30"/>
      <c r="M95" s="30"/>
      <c r="N95" s="30"/>
    </row>
    <row r="96" spans="1:14" ht="14.25" x14ac:dyDescent="0.15">
      <c r="A96" s="30"/>
      <c r="B96" s="32"/>
      <c r="C96" s="30"/>
      <c r="D96" s="30"/>
      <c r="E96" s="17"/>
      <c r="F96" s="40"/>
      <c r="H96" s="17"/>
      <c r="I96" s="30"/>
      <c r="J96" s="30"/>
      <c r="K96" s="30"/>
      <c r="L96" s="30"/>
      <c r="M96" s="30"/>
      <c r="N96" s="30"/>
    </row>
    <row r="97" spans="1:14" ht="14.25" x14ac:dyDescent="0.15">
      <c r="A97" s="30"/>
      <c r="B97" s="32"/>
      <c r="C97" s="30"/>
      <c r="D97" s="30"/>
      <c r="E97" s="17"/>
      <c r="F97" s="40"/>
      <c r="H97" s="17"/>
      <c r="I97" s="30"/>
      <c r="J97" s="30"/>
      <c r="K97" s="30"/>
      <c r="L97" s="30"/>
      <c r="M97" s="30"/>
      <c r="N97" s="30"/>
    </row>
    <row r="98" spans="1:14" ht="14.25" x14ac:dyDescent="0.15">
      <c r="A98" s="30"/>
      <c r="B98" s="32"/>
      <c r="C98" s="30"/>
      <c r="D98" s="30"/>
      <c r="E98" s="17"/>
      <c r="F98" s="40"/>
      <c r="G98" s="17"/>
      <c r="H98" s="17"/>
      <c r="I98" s="30"/>
      <c r="J98" s="30"/>
      <c r="K98" s="30"/>
      <c r="L98" s="30"/>
      <c r="M98" s="30"/>
      <c r="N98" s="30"/>
    </row>
    <row r="99" spans="1:14" ht="14.25" x14ac:dyDescent="0.15">
      <c r="A99" s="30"/>
      <c r="B99" s="32"/>
      <c r="C99" s="30"/>
      <c r="D99" s="30"/>
      <c r="E99" s="17"/>
      <c r="F99" s="40"/>
      <c r="H99" s="17"/>
      <c r="I99" s="30"/>
      <c r="J99" s="30"/>
      <c r="K99" s="30"/>
      <c r="L99" s="30"/>
      <c r="M99" s="30"/>
      <c r="N99" s="30"/>
    </row>
    <row r="100" spans="1:14" ht="14.25" x14ac:dyDescent="0.15">
      <c r="A100" s="30"/>
      <c r="B100" s="32"/>
      <c r="C100" s="35"/>
      <c r="D100" s="30"/>
      <c r="E100" s="17"/>
      <c r="F100" s="40"/>
      <c r="G100" s="17"/>
      <c r="H100" s="19"/>
      <c r="I100" s="30"/>
      <c r="J100" s="30"/>
      <c r="K100" s="30"/>
      <c r="L100" s="30"/>
      <c r="M100" s="30"/>
      <c r="N100" s="30"/>
    </row>
    <row r="101" spans="1:14" ht="14.25" x14ac:dyDescent="0.15">
      <c r="A101" s="30"/>
      <c r="B101" s="32"/>
      <c r="C101" s="35"/>
      <c r="D101" s="30"/>
      <c r="E101" s="17"/>
      <c r="F101" s="40"/>
      <c r="H101" s="19"/>
      <c r="I101" s="30"/>
      <c r="J101" s="30"/>
      <c r="K101" s="30"/>
      <c r="L101" s="30"/>
      <c r="M101" s="30"/>
      <c r="N101" s="30"/>
    </row>
    <row r="102" spans="1:14" ht="14.25" x14ac:dyDescent="0.15">
      <c r="A102" s="30"/>
      <c r="B102" s="32"/>
      <c r="C102" s="35"/>
      <c r="D102" s="30"/>
      <c r="E102" s="17"/>
      <c r="F102" s="40"/>
      <c r="G102" s="17"/>
      <c r="H102" s="19"/>
      <c r="I102" s="30"/>
      <c r="J102" s="30"/>
      <c r="K102" s="30"/>
      <c r="L102" s="30"/>
      <c r="M102" s="30"/>
      <c r="N102" s="30"/>
    </row>
    <row r="103" spans="1:14" ht="14.25" x14ac:dyDescent="0.15">
      <c r="A103" s="30"/>
      <c r="B103" s="32"/>
      <c r="C103" s="35"/>
      <c r="D103" s="30"/>
      <c r="E103" s="17"/>
      <c r="F103" s="40"/>
      <c r="H103" s="19"/>
      <c r="I103" s="30"/>
      <c r="J103" s="30"/>
      <c r="K103" s="30"/>
      <c r="L103" s="30"/>
      <c r="M103" s="30"/>
      <c r="N103" s="30"/>
    </row>
    <row r="104" spans="1:14" ht="14.25" x14ac:dyDescent="0.15">
      <c r="A104" s="30"/>
      <c r="B104" s="32"/>
      <c r="C104" s="30"/>
      <c r="D104" s="30"/>
      <c r="E104" s="17"/>
      <c r="F104" s="40"/>
      <c r="H104" s="19"/>
      <c r="I104" s="30"/>
      <c r="J104" s="30"/>
      <c r="K104" s="30"/>
      <c r="L104" s="30"/>
      <c r="M104" s="30"/>
      <c r="N104" s="30"/>
    </row>
    <row r="105" spans="1:14" ht="14.25" x14ac:dyDescent="0.15">
      <c r="A105" s="30"/>
      <c r="B105" s="32"/>
      <c r="C105" s="30"/>
      <c r="D105" s="30"/>
      <c r="E105" s="17"/>
      <c r="F105" s="40"/>
      <c r="G105" s="17"/>
      <c r="H105" s="19"/>
      <c r="I105" s="30"/>
      <c r="J105" s="30"/>
      <c r="K105" s="30"/>
      <c r="L105" s="30"/>
      <c r="M105" s="30"/>
      <c r="N105" s="30"/>
    </row>
    <row r="106" spans="1:14" ht="14.25" x14ac:dyDescent="0.15">
      <c r="A106" s="30"/>
      <c r="B106" s="32"/>
      <c r="C106" s="30"/>
      <c r="D106" s="30"/>
      <c r="E106" s="17"/>
      <c r="F106" s="40"/>
      <c r="H106" s="19"/>
      <c r="I106" s="30"/>
      <c r="J106" s="30"/>
      <c r="K106" s="30"/>
      <c r="L106" s="30"/>
      <c r="M106" s="30"/>
      <c r="N106" s="30"/>
    </row>
    <row r="107" spans="1:14" ht="14.25" x14ac:dyDescent="0.15">
      <c r="A107" s="30"/>
      <c r="B107" s="32"/>
      <c r="C107" s="30"/>
      <c r="D107" s="30"/>
      <c r="E107" s="17"/>
      <c r="F107" s="40"/>
      <c r="H107" s="19"/>
      <c r="I107" s="30"/>
      <c r="J107" s="30"/>
      <c r="K107" s="30"/>
      <c r="L107" s="30"/>
      <c r="M107" s="30"/>
      <c r="N107" s="30"/>
    </row>
    <row r="108" spans="1:14" ht="14.25" x14ac:dyDescent="0.15">
      <c r="A108" s="30"/>
      <c r="B108" s="32"/>
      <c r="C108" s="17"/>
      <c r="D108" s="17"/>
      <c r="E108" s="17"/>
      <c r="F108" s="40"/>
      <c r="H108" s="19"/>
      <c r="I108" s="17"/>
      <c r="J108" s="17"/>
      <c r="K108" s="17"/>
      <c r="L108" s="17"/>
      <c r="M108" s="17"/>
      <c r="N108" s="30"/>
    </row>
  </sheetData>
  <mergeCells count="175">
    <mergeCell ref="N14:N15"/>
    <mergeCell ref="N16:N49"/>
    <mergeCell ref="N50:N73"/>
    <mergeCell ref="N75:N91"/>
    <mergeCell ref="N92:N108"/>
    <mergeCell ref="L94:L95"/>
    <mergeCell ref="L96:L99"/>
    <mergeCell ref="L100:L103"/>
    <mergeCell ref="L104:L107"/>
    <mergeCell ref="M14:M15"/>
    <mergeCell ref="M16:M33"/>
    <mergeCell ref="M37:M38"/>
    <mergeCell ref="M39:M41"/>
    <mergeCell ref="M42:M43"/>
    <mergeCell ref="M44:M45"/>
    <mergeCell ref="M50:M62"/>
    <mergeCell ref="M64:M73"/>
    <mergeCell ref="M75:M90"/>
    <mergeCell ref="M92:M107"/>
    <mergeCell ref="K94:K95"/>
    <mergeCell ref="K96:K99"/>
    <mergeCell ref="K100:K103"/>
    <mergeCell ref="K104:K107"/>
    <mergeCell ref="L14:L15"/>
    <mergeCell ref="L22:L23"/>
    <mergeCell ref="L24:L25"/>
    <mergeCell ref="L26:L27"/>
    <mergeCell ref="L28:L29"/>
    <mergeCell ref="L39:L41"/>
    <mergeCell ref="L42:L43"/>
    <mergeCell ref="L44:L45"/>
    <mergeCell ref="L51:L52"/>
    <mergeCell ref="L53:L55"/>
    <mergeCell ref="L56:L57"/>
    <mergeCell ref="L58:L61"/>
    <mergeCell ref="L65:L68"/>
    <mergeCell ref="L69:L70"/>
    <mergeCell ref="L71:L72"/>
    <mergeCell ref="L75:L76"/>
    <mergeCell ref="L77:L78"/>
    <mergeCell ref="L79:L82"/>
    <mergeCell ref="L83:L86"/>
    <mergeCell ref="L87:L90"/>
    <mergeCell ref="J94:J95"/>
    <mergeCell ref="J96:J99"/>
    <mergeCell ref="J100:J103"/>
    <mergeCell ref="J104:J107"/>
    <mergeCell ref="K14:K15"/>
    <mergeCell ref="K22:K23"/>
    <mergeCell ref="K24:K25"/>
    <mergeCell ref="K26:K27"/>
    <mergeCell ref="K28:K29"/>
    <mergeCell ref="K39:K41"/>
    <mergeCell ref="K42:K43"/>
    <mergeCell ref="K44:K45"/>
    <mergeCell ref="K51:K52"/>
    <mergeCell ref="K53:K55"/>
    <mergeCell ref="K56:K57"/>
    <mergeCell ref="K58:K61"/>
    <mergeCell ref="K65:K68"/>
    <mergeCell ref="K69:K70"/>
    <mergeCell ref="K71:K72"/>
    <mergeCell ref="K75:K76"/>
    <mergeCell ref="K77:K78"/>
    <mergeCell ref="K79:K82"/>
    <mergeCell ref="K83:K86"/>
    <mergeCell ref="K87:K90"/>
    <mergeCell ref="J58:J61"/>
    <mergeCell ref="J65:J68"/>
    <mergeCell ref="J69:J70"/>
    <mergeCell ref="J71:J72"/>
    <mergeCell ref="J75:J76"/>
    <mergeCell ref="J77:J78"/>
    <mergeCell ref="J79:J82"/>
    <mergeCell ref="J83:J86"/>
    <mergeCell ref="J87:J90"/>
    <mergeCell ref="J24:J25"/>
    <mergeCell ref="J26:J27"/>
    <mergeCell ref="J28:J29"/>
    <mergeCell ref="J39:J41"/>
    <mergeCell ref="J42:J43"/>
    <mergeCell ref="J44:J45"/>
    <mergeCell ref="J51:J52"/>
    <mergeCell ref="J53:J55"/>
    <mergeCell ref="J56:J57"/>
    <mergeCell ref="I75:I76"/>
    <mergeCell ref="I77:I78"/>
    <mergeCell ref="I79:I82"/>
    <mergeCell ref="I83:I86"/>
    <mergeCell ref="I87:I90"/>
    <mergeCell ref="I94:I95"/>
    <mergeCell ref="I96:I99"/>
    <mergeCell ref="I100:I103"/>
    <mergeCell ref="I104:I107"/>
    <mergeCell ref="D87:D90"/>
    <mergeCell ref="D94:D95"/>
    <mergeCell ref="D96:D99"/>
    <mergeCell ref="D100:D103"/>
    <mergeCell ref="D104:D107"/>
    <mergeCell ref="F16:F49"/>
    <mergeCell ref="F50:F73"/>
    <mergeCell ref="F75:F91"/>
    <mergeCell ref="F92:F108"/>
    <mergeCell ref="C87:C90"/>
    <mergeCell ref="C92:C93"/>
    <mergeCell ref="C94:C95"/>
    <mergeCell ref="C96:C99"/>
    <mergeCell ref="C100:C103"/>
    <mergeCell ref="C104:C107"/>
    <mergeCell ref="D22:D23"/>
    <mergeCell ref="D24:D25"/>
    <mergeCell ref="D26:D27"/>
    <mergeCell ref="D28:D29"/>
    <mergeCell ref="D39:D41"/>
    <mergeCell ref="D42:D43"/>
    <mergeCell ref="D44:D45"/>
    <mergeCell ref="D51:D52"/>
    <mergeCell ref="D53:D55"/>
    <mergeCell ref="D56:D57"/>
    <mergeCell ref="D58:D61"/>
    <mergeCell ref="D65:D68"/>
    <mergeCell ref="D69:D70"/>
    <mergeCell ref="D71:D72"/>
    <mergeCell ref="D75:D76"/>
    <mergeCell ref="D77:D78"/>
    <mergeCell ref="D79:D82"/>
    <mergeCell ref="D83:D86"/>
    <mergeCell ref="A75:A91"/>
    <mergeCell ref="A92:A108"/>
    <mergeCell ref="B16:B49"/>
    <mergeCell ref="B50:B73"/>
    <mergeCell ref="B75:B91"/>
    <mergeCell ref="B92:B108"/>
    <mergeCell ref="C22:C23"/>
    <mergeCell ref="C24:C25"/>
    <mergeCell ref="C26:C27"/>
    <mergeCell ref="C28:C29"/>
    <mergeCell ref="C39:C41"/>
    <mergeCell ref="C42:C43"/>
    <mergeCell ref="C44:C45"/>
    <mergeCell ref="C51:C52"/>
    <mergeCell ref="C53:C55"/>
    <mergeCell ref="C56:C57"/>
    <mergeCell ref="C58:C61"/>
    <mergeCell ref="C65:C68"/>
    <mergeCell ref="C69:C70"/>
    <mergeCell ref="C71:C72"/>
    <mergeCell ref="C75:C76"/>
    <mergeCell ref="C77:C78"/>
    <mergeCell ref="C79:C82"/>
    <mergeCell ref="C83:C86"/>
    <mergeCell ref="A1:M1"/>
    <mergeCell ref="A2:M2"/>
    <mergeCell ref="A3:M3"/>
    <mergeCell ref="A4:C4"/>
    <mergeCell ref="A5:M5"/>
    <mergeCell ref="A6:G6"/>
    <mergeCell ref="A14:A15"/>
    <mergeCell ref="A16:A49"/>
    <mergeCell ref="A50:A73"/>
    <mergeCell ref="I22:I23"/>
    <mergeCell ref="I24:I25"/>
    <mergeCell ref="I26:I27"/>
    <mergeCell ref="I28:I29"/>
    <mergeCell ref="I39:I41"/>
    <mergeCell ref="I44:I45"/>
    <mergeCell ref="I51:I52"/>
    <mergeCell ref="I53:I55"/>
    <mergeCell ref="I56:I57"/>
    <mergeCell ref="I58:I61"/>
    <mergeCell ref="I65:I68"/>
    <mergeCell ref="I69:I70"/>
    <mergeCell ref="I71:I72"/>
    <mergeCell ref="J14:J15"/>
    <mergeCell ref="J22:J23"/>
  </mergeCells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Chelly Sue</cp:lastModifiedBy>
  <dcterms:created xsi:type="dcterms:W3CDTF">2023-05-12T11:15:00Z</dcterms:created>
  <dcterms:modified xsi:type="dcterms:W3CDTF">2026-09-08T15:20:02Z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E30BA10F82AF45D08E71107C23C4579B_13</vt:lpwstr>
  </property>
  <property fmtid="{D5CDD505-2E9C-101B-9397-08002B2CF9AE}" pid="4" name="CalculationRule">
    <vt:i4>0</vt:i4>
  </property>
</Properties>
</file>