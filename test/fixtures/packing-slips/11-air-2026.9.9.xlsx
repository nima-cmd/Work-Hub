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新建文件夹\凡达斯工作文件\小强\2026装箱单\"/>
    </mc:Choice>
  </mc:AlternateContent>
  <bookViews>
    <workbookView windowWidth="27945" windowHeight="117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<sst xmlns="http://schemas.openxmlformats.org/spreadsheetml/2006/main" count="53" uniqueCount="44">
  <si>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PACKING LIST             DATE: 2026.9.9</t>
  </si>
  <si>
    <t>Factory Name: Guangzhou Fantasy Leather Co.ltd</t>
  </si>
  <si>
    <t>ADD: Floor 2, B building , Guang Er Industrial Park , No.2 Yi Dong Road ,Shi Ling Town, Huadu District , Guangzhou ，China</t>
  </si>
  <si>
    <t>Contact: ChellySue</t>
  </si>
  <si>
    <t>TEL:86-13710387292</t>
  </si>
  <si>
    <t>MAIL chellysue@163.com</t>
  </si>
  <si>
    <t>COMPANY:Entrelaced Holdings LLC</t>
  </si>
  <si>
    <t>ADD:825 western ave, unit 13, glendale, california 91201</t>
  </si>
  <si>
    <t>ATTN:Nima Erfani</t>
  </si>
  <si>
    <t>TEL:001818720-0116</t>
  </si>
  <si>
    <t>E-MAIL:geneva@naghedinyc.com</t>
  </si>
  <si>
    <r>
      <rPr>
        <sz val="12"/>
        <rFont val="Arial"/>
        <charset val="134"/>
      </rPr>
      <t>OFFICE.NO.</t>
    </r>
    <r>
      <rPr>
        <sz val="12"/>
        <rFont val="微软雅黑"/>
        <charset val="134"/>
      </rPr>
      <t>我司定单号</t>
    </r>
  </si>
  <si>
    <t>P.O.NO</t>
  </si>
  <si>
    <t>CTNS NO.</t>
  </si>
  <si>
    <t>CTNS</t>
  </si>
  <si>
    <t>STYLE NO</t>
  </si>
  <si>
    <t>COLOR</t>
  </si>
  <si>
    <r>
      <rPr>
        <sz val="12"/>
        <rFont val="Arial"/>
        <charset val="134"/>
      </rPr>
      <t>PACK/CTN</t>
    </r>
    <r>
      <rPr>
        <sz val="12"/>
        <rFont val="微软雅黑"/>
        <charset val="134"/>
      </rPr>
      <t>（每箱个数）</t>
    </r>
  </si>
  <si>
    <r>
      <rPr>
        <sz val="12"/>
        <rFont val="Arial"/>
        <charset val="134"/>
      </rPr>
      <t>QUTY</t>
    </r>
    <r>
      <rPr>
        <sz val="12"/>
        <rFont val="微软雅黑"/>
        <charset val="134"/>
      </rPr>
      <t>（总数量）</t>
    </r>
  </si>
  <si>
    <r>
      <rPr>
        <sz val="12"/>
        <rFont val="Arial"/>
        <charset val="134"/>
      </rPr>
      <t>CTN/G.W</t>
    </r>
    <r>
      <rPr>
        <sz val="12"/>
        <rFont val="微软雅黑"/>
        <charset val="134"/>
      </rPr>
      <t>（每箱毛重）</t>
    </r>
    <r>
      <rPr>
        <sz val="12"/>
        <rFont val="Arial"/>
        <charset val="134"/>
      </rPr>
      <t>kg</t>
    </r>
  </si>
  <si>
    <r>
      <rPr>
        <sz val="12"/>
        <rFont val="Arial"/>
        <charset val="134"/>
      </rPr>
      <t>TTL/G.W</t>
    </r>
    <r>
      <rPr>
        <sz val="12"/>
        <rFont val="微软雅黑"/>
        <charset val="134"/>
      </rPr>
      <t>（总毛重）</t>
    </r>
    <r>
      <rPr>
        <sz val="12"/>
        <rFont val="Arial"/>
        <charset val="134"/>
      </rPr>
      <t>kg</t>
    </r>
  </si>
  <si>
    <r>
      <rPr>
        <sz val="12"/>
        <rFont val="Arial"/>
        <charset val="134"/>
      </rPr>
      <t xml:space="preserve">CBM        </t>
    </r>
    <r>
      <rPr>
        <sz val="12"/>
        <rFont val="微软雅黑"/>
        <charset val="134"/>
      </rPr>
      <t>（总立方）</t>
    </r>
  </si>
  <si>
    <r>
      <rPr>
        <sz val="12"/>
        <rFont val="Arial"/>
        <charset val="134"/>
      </rPr>
      <t>MEAS (CM</t>
    </r>
    <r>
      <rPr>
        <sz val="12"/>
        <rFont val="微软雅黑"/>
        <charset val="134"/>
      </rPr>
      <t>纸箱规格尺寸</t>
    </r>
    <r>
      <rPr>
        <sz val="12"/>
        <rFont val="Arial"/>
        <charset val="134"/>
      </rPr>
      <t>)</t>
    </r>
  </si>
  <si>
    <t>牌子</t>
  </si>
  <si>
    <r>
      <rPr>
        <sz val="12"/>
        <rFont val="Arial"/>
        <charset val="134"/>
      </rPr>
      <t>PO</t>
    </r>
    <r>
      <rPr>
        <sz val="12"/>
        <rFont val="微软雅黑"/>
        <charset val="134"/>
      </rPr>
      <t>号</t>
    </r>
  </si>
  <si>
    <t>箱号</t>
  </si>
  <si>
    <t>箱数</t>
  </si>
  <si>
    <t>款号</t>
  </si>
  <si>
    <t>描述</t>
  </si>
  <si>
    <t>颜色</t>
  </si>
  <si>
    <t>PCS</t>
  </si>
  <si>
    <t>Beads</t>
  </si>
  <si>
    <t>SN03012QJ</t>
  </si>
  <si>
    <t>85% nylon,15% spandex ladies handbag               85%锦纶+15%氨纶女士手袋</t>
  </si>
  <si>
    <t>Onyx</t>
  </si>
  <si>
    <t>60*40*43</t>
  </si>
  <si>
    <t>NAGHEDI</t>
  </si>
  <si>
    <t>Teak</t>
  </si>
  <si>
    <t>Excess Fabric</t>
  </si>
  <si>
    <t>3-6</t>
  </si>
  <si>
    <t>SN25013FN</t>
  </si>
  <si>
    <t>Bluff</t>
  </si>
  <si>
    <t>7-10</t>
  </si>
  <si>
    <t>Canyon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</si>
</sst>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8"/>
      <name val="Arial"/>
      <charset val="134"/>
    </font>
    <font>
      <sz val="12"/>
      <name val="Arial"/>
      <charset val="0"/>
    </font>
    <font>
      <b/>
      <sz val="11"/>
      <color theme="1"/>
      <name val="宋体"/>
      <charset val="134"/>
      <scheme val="minor"/>
    </font>
    <font>
      <sz val="12"/>
      <name val="Arial"/>
      <charset val="134"/>
    </font>
    <font>
      <sz val="12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31">
    <xf numFmtId="0" fontId="0" fillId="0" borderId="0" xfId="0">
      <alignment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49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0" fontId="2" fillId="0" borderId="0" xfId="49" applyNumberFormat="1" applyFont="1" applyFill="1" applyAlignment="1">
      <alignment horizontal="left" vertical="center" wrapText="1"/>
    </xf>
    <xf numFmtId="0" fontId="2" fillId="0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colors>
    <mruColors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tabSelected="1" topLeftCell="A13" workbookViewId="0">
      <selection activeCell="E38" sqref="E38"/>
    </sheetView>
  </sheetViews>
  <sheetFormatPr defaultColWidth="9" defaultRowHeight="13.5"/>
  <cols>
    <col min="1" max="1" width="14.5" style="1" customWidth="1"/>
    <col min="2" max="2" width="17.5" style="1" customWidth="1"/>
    <col min="3" max="4" width="9" style="1"/>
    <col min="5" max="5" width="14.75" style="1" customWidth="1"/>
    <col min="6" max="6" width="19.375" style="1" customWidth="1"/>
    <col min="7" max="7" width="17.625" style="1" customWidth="1"/>
    <col min="8" max="10" width="9" style="1"/>
    <col min="11" max="11" width="11.125" style="1" customWidth="1"/>
    <col min="12" max="12" width="10.375" style="1"/>
    <col min="13" max="13" width="17.875" style="1" customWidth="1"/>
    <col min="14" max="14" width="14.5" style="1" customWidth="1"/>
    <col min="15" max="15" width="14.625" style="1" customWidth="1"/>
    <col min="16" max="16" width="15.875" style="1" customWidth="1"/>
    <col min="17" max="16384" width="9" style="1"/>
  </cols>
  <sheetData>
    <row r="1" ht="23.25" spans="1:1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="1" customFormat="1" ht="15" spans="1:14">
      <c r="A2" s="4" t="s">
        <v>1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</row>
    <row r="3" s="1" customFormat="1" ht="15" spans="1:14">
      <c r="A3" s="4" t="s">
        <v>2</v>
      </c>
      <c r="B3" s="4"/>
      <c r="C3" s="4"/>
      <c r="D3" s="4"/>
      <c r="E3" s="4"/>
      <c r="F3" s="4"/>
      <c r="G3" s="4"/>
      <c r="H3" s="5"/>
      <c r="I3" s="5"/>
      <c r="J3" s="5"/>
      <c r="K3" s="5"/>
      <c r="L3" s="5"/>
      <c r="M3" s="5"/>
    </row>
    <row r="4" s="1" customFormat="1" spans="1:14">
      <c r="A4" s="6" t="s">
        <v>3</v>
      </c>
      <c r="B4" s="6"/>
      <c r="C4" s="6"/>
      <c r="D4" s="7"/>
      <c r="E4" s="7"/>
      <c r="F4" s="7"/>
      <c r="G4" s="7"/>
      <c r="H4" s="7"/>
      <c r="I4" s="7"/>
      <c r="J4" s="7"/>
      <c r="K4" s="7"/>
      <c r="L4" s="7"/>
      <c r="M4" s="7"/>
    </row>
    <row r="5" s="1" customFormat="1" ht="15" spans="1:14">
      <c r="A5" s="4" t="s">
        <v>4</v>
      </c>
      <c r="B5" s="4"/>
      <c r="C5" s="4"/>
      <c r="D5" s="4"/>
      <c r="E5" s="4"/>
      <c r="F5" s="4"/>
      <c r="G5" s="4"/>
      <c r="H5" s="5"/>
      <c r="I5" s="5"/>
      <c r="J5" s="5"/>
      <c r="K5" s="5"/>
      <c r="L5" s="5"/>
      <c r="M5" s="5"/>
    </row>
    <row r="6" s="1" customFormat="1" ht="15" spans="1:14">
      <c r="A6" s="8" t="s">
        <v>5</v>
      </c>
      <c r="B6" s="8"/>
      <c r="C6" s="8"/>
      <c r="D6" s="8"/>
      <c r="E6" s="8"/>
      <c r="F6" s="8"/>
      <c r="G6" s="8"/>
      <c r="H6" s="5"/>
      <c r="I6" s="5"/>
      <c r="J6" s="5"/>
      <c r="K6" s="5"/>
      <c r="L6" s="5"/>
      <c r="M6" s="5"/>
    </row>
    <row r="7" s="1" customFormat="1" ht="15" spans="1:14">
      <c r="A7" s="9"/>
      <c r="B7" s="10"/>
      <c r="C7" s="10"/>
      <c r="D7" s="10"/>
      <c r="E7" s="10"/>
      <c r="F7" s="10"/>
      <c r="G7" s="10"/>
      <c r="H7" s="11"/>
      <c r="I7" s="11"/>
      <c r="J7" s="11"/>
      <c r="K7" s="11"/>
      <c r="L7" s="11"/>
      <c r="M7" s="11"/>
    </row>
    <row r="8" s="2" customFormat="1" ht="15" spans="1:14">
      <c r="A8" s="12" t="s">
        <v>6</v>
      </c>
      <c r="B8" s="4"/>
      <c r="C8" s="10"/>
      <c r="D8" s="10"/>
      <c r="E8" s="10"/>
      <c r="F8" s="10"/>
      <c r="G8" s="10"/>
      <c r="H8" s="11"/>
      <c r="I8" s="11"/>
      <c r="J8" s="10"/>
      <c r="K8" s="10"/>
      <c r="L8" s="10"/>
      <c r="M8" s="10"/>
    </row>
    <row r="9" s="2" customFormat="1" ht="15" spans="1:14">
      <c r="A9" s="12" t="s">
        <v>7</v>
      </c>
      <c r="B9" s="4"/>
      <c r="C9" s="10"/>
      <c r="D9" s="10"/>
      <c r="E9" s="10"/>
      <c r="F9" s="10"/>
      <c r="G9" s="10"/>
      <c r="H9" s="11"/>
      <c r="I9" s="11"/>
      <c r="J9" s="10"/>
      <c r="K9" s="10"/>
      <c r="L9" s="10"/>
      <c r="M9" s="10"/>
    </row>
    <row r="10" s="2" customFormat="1" ht="15" spans="1:14">
      <c r="A10" s="12" t="s">
        <v>8</v>
      </c>
      <c r="B10" s="4"/>
      <c r="C10" s="10"/>
      <c r="D10" s="10"/>
      <c r="E10" s="10"/>
      <c r="F10" s="10"/>
      <c r="G10" s="10"/>
      <c r="H10" s="11"/>
      <c r="I10" s="11"/>
      <c r="J10" s="10"/>
      <c r="K10" s="10"/>
      <c r="L10" s="10"/>
      <c r="M10" s="10"/>
    </row>
    <row r="11" s="2" customFormat="1" ht="15" spans="1:14">
      <c r="A11" s="12" t="s">
        <v>9</v>
      </c>
      <c r="B11" s="4"/>
      <c r="C11" s="10"/>
      <c r="D11" s="10"/>
      <c r="E11" s="10"/>
      <c r="F11" s="10"/>
      <c r="G11" s="10"/>
      <c r="H11" s="11"/>
      <c r="I11" s="11"/>
      <c r="J11" s="10"/>
      <c r="K11" s="10"/>
      <c r="L11" s="10"/>
      <c r="M11" s="10"/>
    </row>
    <row r="12" s="2" customFormat="1" ht="15" spans="1:14">
      <c r="A12" s="12" t="s">
        <v>10</v>
      </c>
      <c r="B12" s="4"/>
      <c r="C12" s="10"/>
      <c r="D12" s="10"/>
      <c r="E12" s="10"/>
      <c r="F12" s="10"/>
      <c r="G12" s="10"/>
      <c r="H12" s="11"/>
      <c r="I12" s="11"/>
      <c r="J12" s="10"/>
      <c r="K12" s="10"/>
      <c r="L12" s="10"/>
      <c r="M12" s="10"/>
    </row>
    <row r="13" ht="15" spans="1:14">
      <c r="A13" s="10"/>
      <c r="B13" s="10"/>
      <c r="C13" s="10"/>
      <c r="D13" s="10"/>
      <c r="E13" s="10"/>
      <c r="F13" s="10"/>
      <c r="G13" s="10"/>
      <c r="H13" s="11"/>
      <c r="I13" s="11"/>
      <c r="J13" s="10"/>
      <c r="K13" s="10"/>
      <c r="L13" s="10"/>
      <c r="M13" s="10"/>
    </row>
    <row r="14" ht="49.5" spans="1:14">
      <c r="A14" s="13" t="s">
        <v>11</v>
      </c>
      <c r="B14" s="14" t="s">
        <v>12</v>
      </c>
      <c r="C14" s="14" t="s">
        <v>13</v>
      </c>
      <c r="D14" s="14" t="s">
        <v>14</v>
      </c>
      <c r="E14" s="14" t="s">
        <v>15</v>
      </c>
      <c r="F14" s="14"/>
      <c r="G14" s="14" t="s">
        <v>16</v>
      </c>
      <c r="H14" s="14" t="s">
        <v>17</v>
      </c>
      <c r="I14" s="14" t="s">
        <v>18</v>
      </c>
      <c r="J14" s="13" t="s">
        <v>19</v>
      </c>
      <c r="K14" s="13" t="s">
        <v>20</v>
      </c>
      <c r="L14" s="13" t="s">
        <v>21</v>
      </c>
      <c r="M14" s="13" t="s">
        <v>22</v>
      </c>
      <c r="N14" s="15" t="s">
        <v>23</v>
      </c>
    </row>
    <row r="15" ht="17.25" spans="1:14">
      <c r="A15" s="16"/>
      <c r="B15" s="14" t="s">
        <v>24</v>
      </c>
      <c r="C15" s="17" t="s">
        <v>25</v>
      </c>
      <c r="D15" s="17" t="s">
        <v>26</v>
      </c>
      <c r="E15" s="17" t="s">
        <v>27</v>
      </c>
      <c r="F15" s="17" t="s">
        <v>28</v>
      </c>
      <c r="G15" s="17" t="s">
        <v>29</v>
      </c>
      <c r="H15" s="14" t="s">
        <v>30</v>
      </c>
      <c r="I15" s="14" t="s">
        <v>30</v>
      </c>
      <c r="J15" s="16"/>
      <c r="K15" s="16"/>
      <c r="L15" s="16"/>
      <c r="M15" s="16"/>
      <c r="N15" s="18"/>
    </row>
    <row r="16" ht="15" customHeight="1" spans="1:14">
      <c r="A16" s="19">
        <v>1820</v>
      </c>
      <c r="B16" s="20" t="s">
        <v>31</v>
      </c>
      <c r="C16" s="19">
        <v>1</v>
      </c>
      <c r="D16" s="19">
        <v>1</v>
      </c>
      <c r="E16" s="19" t="s">
        <v>32</v>
      </c>
      <c r="F16" s="21" t="s">
        <v>33</v>
      </c>
      <c r="G16" s="19" t="s">
        <v>34</v>
      </c>
      <c r="H16" s="19">
        <v>25</v>
      </c>
      <c r="I16" s="19">
        <f>H16*D16</f>
        <v>25</v>
      </c>
      <c r="J16" s="19">
        <v>20.4</v>
      </c>
      <c r="K16" s="19">
        <f>J16*D16</f>
        <v>20.4</v>
      </c>
      <c r="L16" s="19">
        <f>0.1*D16</f>
        <v>0.1</v>
      </c>
      <c r="M16" s="22" t="s">
        <v>35</v>
      </c>
      <c r="N16" s="22" t="s">
        <v>36</v>
      </c>
    </row>
    <row r="17" ht="14.25" spans="1:14">
      <c r="A17" s="19"/>
      <c r="B17" s="20"/>
      <c r="C17" s="19">
        <v>2</v>
      </c>
      <c r="D17" s="19">
        <v>1</v>
      </c>
      <c r="E17" s="19" t="s">
        <v>32</v>
      </c>
      <c r="F17" s="21"/>
      <c r="G17" s="23" t="s">
        <v>37</v>
      </c>
      <c r="H17" s="19">
        <v>20</v>
      </c>
      <c r="I17" s="19">
        <v>25</v>
      </c>
      <c r="J17" s="19">
        <v>20.15</v>
      </c>
      <c r="K17" s="19">
        <f>J17*D17</f>
        <v>20.15</v>
      </c>
      <c r="L17" s="19">
        <f>0.1*D17</f>
        <v>0.1</v>
      </c>
      <c r="M17" s="22"/>
      <c r="N17" s="22"/>
    </row>
    <row r="18" ht="14.25" spans="1:14">
      <c r="A18" s="19"/>
      <c r="B18" s="20"/>
      <c r="C18" s="19"/>
      <c r="D18" s="19"/>
      <c r="E18" s="19" t="s">
        <v>32</v>
      </c>
      <c r="F18" s="21"/>
      <c r="G18" s="19" t="s">
        <v>34</v>
      </c>
      <c r="H18" s="19">
        <v>5</v>
      </c>
      <c r="I18" s="19"/>
      <c r="J18" s="19"/>
      <c r="K18" s="19"/>
      <c r="L18" s="19"/>
      <c r="M18" s="22"/>
      <c r="N18" s="22"/>
    </row>
    <row r="19" ht="14.25" spans="1:14">
      <c r="A19" s="22">
        <v>1777</v>
      </c>
      <c r="B19" s="24" t="s">
        <v>38</v>
      </c>
      <c r="C19" s="25" t="s">
        <v>39</v>
      </c>
      <c r="D19" s="19">
        <v>4</v>
      </c>
      <c r="E19" s="19" t="s">
        <v>40</v>
      </c>
      <c r="F19" s="21"/>
      <c r="G19" s="19" t="s">
        <v>41</v>
      </c>
      <c r="H19" s="19">
        <v>11</v>
      </c>
      <c r="I19" s="19">
        <f>H19*D19</f>
        <v>44</v>
      </c>
      <c r="J19" s="19">
        <v>15.9</v>
      </c>
      <c r="K19" s="19">
        <f>J19*D19</f>
        <v>63.6</v>
      </c>
      <c r="L19" s="19">
        <f>0.1*D19</f>
        <v>0.4</v>
      </c>
      <c r="M19" s="22"/>
      <c r="N19" s="22"/>
    </row>
    <row r="20" ht="14.25" spans="1:14">
      <c r="A20" s="22"/>
      <c r="B20" s="24"/>
      <c r="C20" s="25" t="s">
        <v>42</v>
      </c>
      <c r="D20" s="19">
        <v>4</v>
      </c>
      <c r="E20" s="19" t="s">
        <v>40</v>
      </c>
      <c r="F20" s="21"/>
      <c r="G20" s="19" t="s">
        <v>43</v>
      </c>
      <c r="H20" s="19">
        <v>11</v>
      </c>
      <c r="I20" s="19">
        <f>H20*D20</f>
        <v>44</v>
      </c>
      <c r="J20" s="19">
        <v>16</v>
      </c>
      <c r="K20" s="19">
        <f>J20*D20</f>
        <v>64</v>
      </c>
      <c r="L20" s="19">
        <f>0.1*D20</f>
        <v>0.4</v>
      </c>
      <c r="M20" s="22"/>
      <c r="N20" s="22"/>
    </row>
    <row r="21" ht="14.25" spans="1:14">
      <c r="A21" s="22"/>
      <c r="B21" s="24"/>
      <c r="C21" s="22">
        <v>11</v>
      </c>
      <c r="D21" s="22">
        <v>1</v>
      </c>
      <c r="E21" s="19" t="s">
        <v>40</v>
      </c>
      <c r="F21" s="21"/>
      <c r="G21" s="19" t="s">
        <v>41</v>
      </c>
      <c r="H21" s="19">
        <v>6</v>
      </c>
      <c r="I21" s="22">
        <v>12</v>
      </c>
      <c r="J21" s="22">
        <v>17.25</v>
      </c>
      <c r="K21" s="22">
        <f>J21*D21</f>
        <v>17.25</v>
      </c>
      <c r="L21" s="22">
        <f>0.1*D21</f>
        <v>0.1</v>
      </c>
      <c r="M21" s="22"/>
      <c r="N21" s="22"/>
    </row>
    <row r="22" ht="14.25" spans="1:14">
      <c r="A22" s="22"/>
      <c r="B22" s="24"/>
      <c r="C22" s="22"/>
      <c r="D22" s="22"/>
      <c r="E22" s="19" t="s">
        <v>40</v>
      </c>
      <c r="F22" s="21"/>
      <c r="G22" s="19" t="s">
        <v>43</v>
      </c>
      <c r="H22" s="19">
        <v>6</v>
      </c>
      <c r="I22" s="22"/>
      <c r="J22" s="22"/>
      <c r="K22" s="22"/>
      <c r="L22" s="22"/>
      <c r="M22" s="22"/>
      <c r="N22" s="22"/>
    </row>
    <row r="23" ht="14.25" spans="1:14">
      <c r="A23" s="26"/>
      <c r="B23" s="27"/>
      <c r="C23" s="26"/>
      <c r="D23" s="26">
        <f>SUM(D16:D22)</f>
        <v>11</v>
      </c>
      <c r="E23" s="26"/>
      <c r="F23" s="27"/>
      <c r="G23" s="26"/>
      <c r="H23" s="26"/>
      <c r="I23" s="26">
        <f>SUM(I16:I22)</f>
        <v>150</v>
      </c>
      <c r="J23" s="26"/>
      <c r="K23" s="26">
        <f>SUM(K16:K22)</f>
        <v>185.4</v>
      </c>
      <c r="L23" s="26">
        <f>SUM(L16:L22)</f>
        <v>1.1</v>
      </c>
      <c r="M23" s="26"/>
      <c r="N23" s="28"/>
    </row>
    <row r="24" ht="14.25" spans="1:14">
      <c r="A24" s="26"/>
      <c r="B24" s="27"/>
      <c r="C24" s="26"/>
      <c r="D24" s="26"/>
      <c r="E24" s="26"/>
      <c r="F24" s="27"/>
      <c r="G24" s="26"/>
      <c r="H24" s="26"/>
      <c r="I24" s="26"/>
      <c r="J24" s="26"/>
      <c r="K24" s="26"/>
      <c r="L24" s="26"/>
      <c r="M24" s="26"/>
      <c r="N24" s="28"/>
    </row>
    <row r="25" ht="14.25" spans="1:14">
      <c r="A25" s="26"/>
      <c r="B25" s="27"/>
      <c r="C25" s="26"/>
      <c r="D25" s="26"/>
      <c r="E25" s="26"/>
      <c r="F25" s="27"/>
      <c r="G25" s="26"/>
      <c r="H25" s="26"/>
      <c r="I25" s="26"/>
      <c r="J25" s="26"/>
      <c r="K25" s="26"/>
      <c r="L25" s="26"/>
      <c r="M25" s="26"/>
      <c r="N25" s="28"/>
    </row>
    <row r="26" ht="14.25" spans="1:14">
      <c r="A26" s="26"/>
      <c r="B26" s="27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8"/>
    </row>
    <row r="27" ht="14.25" spans="1:14">
      <c r="A27" s="26"/>
      <c r="B27" s="27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8"/>
    </row>
    <row r="28" ht="14.25" spans="1:14">
      <c r="A28" s="26"/>
      <c r="B28" s="27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8"/>
    </row>
    <row r="29" ht="14.25" spans="1:14">
      <c r="A29" s="26"/>
      <c r="B29" s="27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8"/>
    </row>
    <row r="30" ht="14.25" spans="1:14">
      <c r="A30" s="26"/>
      <c r="B30" s="27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8"/>
    </row>
    <row r="31" ht="14.25" spans="1:14">
      <c r="A31" s="26"/>
      <c r="B31" s="27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8"/>
    </row>
    <row r="32" ht="14.25" spans="1:14">
      <c r="A32" s="26"/>
      <c r="B32" s="27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8"/>
    </row>
    <row r="33" ht="14.25" spans="1:14">
      <c r="A33" s="26"/>
      <c r="B33" s="27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8"/>
    </row>
    <row r="34" ht="15" customHeight="1" spans="1:14">
      <c r="A34" s="26"/>
      <c r="B34" s="27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8"/>
    </row>
    <row r="35" ht="14.25" spans="1:14">
      <c r="A35" s="26"/>
      <c r="B35" s="27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8"/>
    </row>
    <row r="36" ht="14.25" spans="1:14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</row>
    <row r="37" ht="14.25" spans="1:14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ht="14.25" spans="1:14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</row>
    <row r="39" ht="14.25" spans="1:14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ht="14.25" spans="1:14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</row>
    <row r="41" ht="14.25" spans="1:14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ht="14.25" spans="1:14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ht="14.25" spans="1:14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ht="14.25" spans="1:1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</row>
    <row r="45" ht="14.25" spans="1:14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ht="14.25" spans="1:14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</row>
    <row r="47" ht="14.25" spans="1:14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ht="14.25" spans="1:14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</row>
    <row r="49" ht="14.25" spans="1:14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ht="14.25" spans="1:14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</row>
    <row r="51" ht="14.25" spans="1:14">
      <c r="A51" s="29"/>
      <c r="B51" s="29"/>
      <c r="C51" s="29"/>
      <c r="D51" s="29"/>
      <c r="E51" s="29"/>
      <c r="F51" s="29"/>
      <c r="G51" s="29"/>
      <c r="H51" s="29"/>
      <c r="I51" s="26"/>
      <c r="J51" s="29"/>
      <c r="K51" s="26"/>
      <c r="L51" s="26"/>
      <c r="M51" s="29"/>
      <c r="N51" s="29"/>
    </row>
    <row r="52" ht="14.25" spans="1:14">
      <c r="A52" s="29"/>
      <c r="B52" s="29"/>
      <c r="C52" s="29"/>
      <c r="D52" s="29"/>
      <c r="E52" s="29"/>
      <c r="F52" s="29"/>
      <c r="G52" s="29"/>
      <c r="H52" s="29"/>
      <c r="I52" s="26"/>
      <c r="J52" s="29"/>
      <c r="K52" s="26"/>
      <c r="L52" s="26"/>
      <c r="M52" s="29"/>
      <c r="N52" s="29"/>
    </row>
    <row r="53" spans="1:14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</row>
    <row r="54" spans="1:1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</row>
    <row r="55" spans="1:14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</row>
    <row r="56" spans="1:14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</row>
    <row r="57" spans="1:14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</row>
    <row r="58" spans="1:14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</sheetData>
  <mergeCells count="31">
    <mergeCell ref="A1:M1"/>
    <mergeCell ref="A2:M2"/>
    <mergeCell ref="A3:M3"/>
    <mergeCell ref="A4:C4"/>
    <mergeCell ref="A5:M5"/>
    <mergeCell ref="A6:G6"/>
    <mergeCell ref="A14:A15"/>
    <mergeCell ref="A16:A18"/>
    <mergeCell ref="A19:A22"/>
    <mergeCell ref="B16:B18"/>
    <mergeCell ref="B19:B22"/>
    <mergeCell ref="C17:C18"/>
    <mergeCell ref="C21:C22"/>
    <mergeCell ref="D17:D18"/>
    <mergeCell ref="D21:D22"/>
    <mergeCell ref="F16:F22"/>
    <mergeCell ref="I17:I18"/>
    <mergeCell ref="I21:I22"/>
    <mergeCell ref="J14:J15"/>
    <mergeCell ref="J17:J18"/>
    <mergeCell ref="J21:J22"/>
    <mergeCell ref="K14:K15"/>
    <mergeCell ref="K17:K18"/>
    <mergeCell ref="K21:K22"/>
    <mergeCell ref="L14:L15"/>
    <mergeCell ref="L17:L18"/>
    <mergeCell ref="L21:L22"/>
    <mergeCell ref="M14:M15"/>
    <mergeCell ref="M16:M22"/>
    <mergeCell ref="N14:N15"/>
    <mergeCell ref="N16:N2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chellysue</cp:lastModifiedBy>
  <dcterms:created xsi:type="dcterms:W3CDTF">2023-05-12T11:15:00Z</dcterms:created>
  <dcterms:modified xsi:type="dcterms:W3CDTF">2026-09-09T06:59:55Z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6B38C041F4A040CAB0FBE32C290CEB7B_13</vt:lpwstr>
  </property>
  <property fmtid="{D5CDD505-2E9C-101B-9397-08002B2CF9AE}" pid="4" name="CalculationRule">
    <vt:i4>0</vt:i4>
  </property>
</Properties>
</file>